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<sst xmlns="http://schemas.openxmlformats.org/spreadsheetml/2006/main" count="2724" uniqueCount="124">
  <si>
    <t xml:space="preserve">EMPLOYEE ATTENDANCE TRACKER WITH LATE ARRIVAL ALERTS</t>
  </si>
  <si>
    <t xml:space="preserve">Office shift start time: 09:30 AM | Grace period: 10 minutes | June 2026 (Mon-Fri only)</t>
  </si>
  <si>
    <t xml:space="preserve">Emp ID</t>
  </si>
  <si>
    <t xml:space="preserve">Employee Name</t>
  </si>
  <si>
    <t xml:space="preserve">Department</t>
  </si>
  <si>
    <t xml:space="preserve">Date</t>
  </si>
  <si>
    <t xml:space="preserve">Shift Start</t>
  </si>
  <si>
    <t xml:space="preserve">Check-In Time</t>
  </si>
  <si>
    <t xml:space="preserve">Late By (min, Auto)</t>
  </si>
  <si>
    <t xml:space="preserve">Attendance Status (Auto)</t>
  </si>
  <si>
    <t xml:space="preserve">EMP001</t>
  </si>
  <si>
    <t xml:space="preserve">Rohan Sharma</t>
  </si>
  <si>
    <t xml:space="preserve">Sales</t>
  </si>
  <si>
    <t xml:space="preserve">01-Jun-2026</t>
  </si>
  <si>
    <t xml:space="preserve">09:30 AM</t>
  </si>
  <si>
    <t xml:space="preserve">09:15 AM</t>
  </si>
  <si>
    <t xml:space="preserve">02-Jun-2026</t>
  </si>
  <si>
    <t xml:space="preserve">09:22 AM</t>
  </si>
  <si>
    <t xml:space="preserve">03-Jun-2026</t>
  </si>
  <si>
    <t xml:space="preserve">09:38 AM</t>
  </si>
  <si>
    <t xml:space="preserve">04-Jun-2026</t>
  </si>
  <si>
    <t xml:space="preserve">05-Jun-2026</t>
  </si>
  <si>
    <t xml:space="preserve">09:17 AM</t>
  </si>
  <si>
    <t xml:space="preserve">08-Jun-2026</t>
  </si>
  <si>
    <t xml:space="preserve">09:16 AM</t>
  </si>
  <si>
    <t xml:space="preserve">09-Jun-2026</t>
  </si>
  <si>
    <t xml:space="preserve">09:52 AM</t>
  </si>
  <si>
    <t xml:space="preserve">10-Jun-2026</t>
  </si>
  <si>
    <t xml:space="preserve">09:34 AM</t>
  </si>
  <si>
    <t xml:space="preserve">11-Jun-2026</t>
  </si>
  <si>
    <t xml:space="preserve">12-Jun-2026</t>
  </si>
  <si>
    <t xml:space="preserve">09:37 AM</t>
  </si>
  <si>
    <t xml:space="preserve">15-Jun-2026</t>
  </si>
  <si>
    <t xml:space="preserve">16-Jun-2026</t>
  </si>
  <si>
    <t xml:space="preserve">09:23 AM</t>
  </si>
  <si>
    <t xml:space="preserve">17-Jun-2026</t>
  </si>
  <si>
    <t xml:space="preserve">18-Jun-2026</t>
  </si>
  <si>
    <t xml:space="preserve">09:20 AM</t>
  </si>
  <si>
    <t xml:space="preserve">19-Jun-2026</t>
  </si>
  <si>
    <t xml:space="preserve">09:25 AM</t>
  </si>
  <si>
    <t xml:space="preserve">22-Jun-2026</t>
  </si>
  <si>
    <t xml:space="preserve">09:21 AM</t>
  </si>
  <si>
    <t xml:space="preserve">23-Jun-2026</t>
  </si>
  <si>
    <t xml:space="preserve">24-Jun-2026</t>
  </si>
  <si>
    <t xml:space="preserve">09:27 AM</t>
  </si>
  <si>
    <t xml:space="preserve">25-Jun-2026</t>
  </si>
  <si>
    <t xml:space="preserve">09:26 AM</t>
  </si>
  <si>
    <t xml:space="preserve">26-Jun-2026</t>
  </si>
  <si>
    <t xml:space="preserve">29-Jun-2026</t>
  </si>
  <si>
    <t xml:space="preserve">09:32 AM</t>
  </si>
  <si>
    <t xml:space="preserve">30-Jun-2026</t>
  </si>
  <si>
    <t xml:space="preserve">EMP002</t>
  </si>
  <si>
    <t xml:space="preserve">Priya Mehta</t>
  </si>
  <si>
    <t xml:space="preserve">HR</t>
  </si>
  <si>
    <t xml:space="preserve">09:55 AM</t>
  </si>
  <si>
    <t xml:space="preserve">10:20 AM</t>
  </si>
  <si>
    <t xml:space="preserve">09:35 AM</t>
  </si>
  <si>
    <t xml:space="preserve">10:00 AM</t>
  </si>
  <si>
    <t xml:space="preserve">09:39 AM</t>
  </si>
  <si>
    <t xml:space="preserve">EMP003</t>
  </si>
  <si>
    <t xml:space="preserve">Aman Verma</t>
  </si>
  <si>
    <t xml:space="preserve">Finance</t>
  </si>
  <si>
    <t xml:space="preserve">09:33 AM</t>
  </si>
  <si>
    <t xml:space="preserve">09:28 AM</t>
  </si>
  <si>
    <t xml:space="preserve">09:19 AM</t>
  </si>
  <si>
    <t xml:space="preserve">09:18 AM</t>
  </si>
  <si>
    <t xml:space="preserve">09:29 AM</t>
  </si>
  <si>
    <t xml:space="preserve">EMP004</t>
  </si>
  <si>
    <t xml:space="preserve">Sneha Pillai</t>
  </si>
  <si>
    <t xml:space="preserve">Operations</t>
  </si>
  <si>
    <t xml:space="preserve">09:48 AM</t>
  </si>
  <si>
    <t xml:space="preserve">09:45 AM</t>
  </si>
  <si>
    <t xml:space="preserve">09:24 AM</t>
  </si>
  <si>
    <t xml:space="preserve">09:31 AM</t>
  </si>
  <si>
    <t xml:space="preserve">09:58 AM</t>
  </si>
  <si>
    <t xml:space="preserve">10:05 AM</t>
  </si>
  <si>
    <t xml:space="preserve">10:15 AM</t>
  </si>
  <si>
    <t xml:space="preserve">EMP005</t>
  </si>
  <si>
    <t xml:space="preserve">Karan Joshi</t>
  </si>
  <si>
    <t xml:space="preserve">IT</t>
  </si>
  <si>
    <t xml:space="preserve">10:10 AM</t>
  </si>
  <si>
    <t xml:space="preserve">EMP006</t>
  </si>
  <si>
    <t xml:space="preserve">Neha Kulkarni</t>
  </si>
  <si>
    <t xml:space="preserve">EMP007</t>
  </si>
  <si>
    <t xml:space="preserve">Vikram Rao</t>
  </si>
  <si>
    <t xml:space="preserve">EMP008</t>
  </si>
  <si>
    <t xml:space="preserve">Ananya Iyer</t>
  </si>
  <si>
    <t xml:space="preserve">09:36 AM</t>
  </si>
  <si>
    <t xml:space="preserve">EMP009</t>
  </si>
  <si>
    <t xml:space="preserve">Rahul Deshmukh</t>
  </si>
  <si>
    <t xml:space="preserve">EMP010</t>
  </si>
  <si>
    <t xml:space="preserve">Pooja Nair</t>
  </si>
  <si>
    <t xml:space="preserve">EMP011</t>
  </si>
  <si>
    <t xml:space="preserve">Sahil Khanna</t>
  </si>
  <si>
    <t xml:space="preserve">EMP012</t>
  </si>
  <si>
    <t xml:space="preserve">Meera Reddy</t>
  </si>
  <si>
    <t xml:space="preserve">EMP013</t>
  </si>
  <si>
    <t xml:space="preserve">Arjun Patil</t>
  </si>
  <si>
    <t xml:space="preserve">EMP014</t>
  </si>
  <si>
    <t xml:space="preserve">Divya Shah</t>
  </si>
  <si>
    <t xml:space="preserve">EMP015</t>
  </si>
  <si>
    <t xml:space="preserve">Kunal Mishra</t>
  </si>
  <si>
    <t xml:space="preserve">09:41 AM</t>
  </si>
  <si>
    <t xml:space="preserve">EMP016</t>
  </si>
  <si>
    <t xml:space="preserve">Tanvi Bhosale</t>
  </si>
  <si>
    <t xml:space="preserve">EMP017</t>
  </si>
  <si>
    <t xml:space="preserve">Siddharth Rao</t>
  </si>
  <si>
    <t xml:space="preserve">EMP018</t>
  </si>
  <si>
    <t xml:space="preserve">Ritika Jain</t>
  </si>
  <si>
    <t xml:space="preserve">EMP019</t>
  </si>
  <si>
    <t xml:space="preserve">Aditya Kulkarni</t>
  </si>
  <si>
    <t xml:space="preserve">EMP020</t>
  </si>
  <si>
    <t xml:space="preserve">Komal Save</t>
  </si>
  <si>
    <t xml:space="preserve">EMPLOYEE-WISE LATE SUMMARY (Auto)</t>
  </si>
  <si>
    <t xml:space="preserve">Days Late (Auto)</t>
  </si>
  <si>
    <t xml:space="preserve">HR Alert (Auto, &gt;=3 days)</t>
  </si>
  <si>
    <t xml:space="preserve">TOTAL</t>
  </si>
  <si>
    <t xml:space="preserve">OVERALL SUMMARY (Auto)</t>
  </si>
  <si>
    <t xml:space="preserve">Total Attendance Records</t>
  </si>
  <si>
    <t xml:space="preserve">Total Late Arrivals</t>
  </si>
  <si>
    <t xml:space="preserve">Total On-Time Records</t>
  </si>
  <si>
    <t xml:space="preserve">Overall Punctuality %</t>
  </si>
  <si>
    <t xml:space="preserve">Employees Flagged (Frequent Latecomers)</t>
  </si>
  <si>
    <t xml:space="preserve">Average Late Minutes (Late Records Only)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</si>
</sst>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6" t="n">
        <f aca="false">MAX(0,ROUND((TIMEVALUE(F5)-TIMEVALUE(E5))*1440,0)-10)</f>
        <v>0</v>
      </c>
      <c r="H5" s="5" t="str">
        <f aca="false">IF(G5=0,"On Time","LATE ARRIVAL - "&amp;G5&amp;" min")</f>
        <v>On Time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5" t="s">
        <v>16</v>
      </c>
      <c r="E6" s="5" t="s">
        <v>14</v>
      </c>
      <c r="F6" s="5" t="s">
        <v>17</v>
      </c>
      <c r="G6" s="6" t="n">
        <f aca="false">MAX(0,ROUND((TIMEVALUE(F6)-TIMEVALUE(E6))*1440,0)-10)</f>
        <v>0</v>
      </c>
      <c r="H6" s="5" t="str">
        <f aca="false">IF(G6=0,"On Time","LATE ARRIVAL - "&amp;G6&amp;" min")</f>
        <v>On Time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12</v>
      </c>
      <c r="D7" s="5" t="s">
        <v>18</v>
      </c>
      <c r="E7" s="5" t="s">
        <v>14</v>
      </c>
      <c r="F7" s="5" t="s">
        <v>19</v>
      </c>
      <c r="G7" s="6" t="n">
        <f aca="false">MAX(0,ROUND((TIMEVALUE(F7)-TIMEVALUE(E7))*1440,0)-10)</f>
        <v>0</v>
      </c>
      <c r="H7" s="5" t="str">
        <f aca="false">IF(G7=0,"On Time","LATE ARRIVAL - "&amp;G7&amp;" min")</f>
        <v>On Time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12</v>
      </c>
      <c r="D8" s="5" t="s">
        <v>20</v>
      </c>
      <c r="E8" s="5" t="s">
        <v>14</v>
      </c>
      <c r="F8" s="5" t="s">
        <v>19</v>
      </c>
      <c r="G8" s="6" t="n">
        <f aca="false">MAX(0,ROUND((TIMEVALUE(F8)-TIMEVALUE(E8))*1440,0)-10)</f>
        <v>0</v>
      </c>
      <c r="H8" s="5" t="str">
        <f aca="false">IF(G8=0,"On Time","LATE ARRIVAL - "&amp;G8&amp;" min")</f>
        <v>On Time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5" t="s">
        <v>21</v>
      </c>
      <c r="E9" s="5" t="s">
        <v>14</v>
      </c>
      <c r="F9" s="5" t="s">
        <v>22</v>
      </c>
      <c r="G9" s="6" t="n">
        <f aca="false">MAX(0,ROUND((TIMEVALUE(F9)-TIMEVALUE(E9))*1440,0)-10)</f>
        <v>0</v>
      </c>
      <c r="H9" s="5" t="str">
        <f aca="false">IF(G9=0,"On Time","LATE ARRIVAL - "&amp;G9&amp;" min")</f>
        <v>On Time</v>
      </c>
    </row>
    <row r="10" customFormat="false" ht="15" hidden="false" customHeight="false" outlineLevel="0" collapsed="false">
      <c r="A10" s="4" t="s">
        <v>10</v>
      </c>
      <c r="B10" s="4" t="s">
        <v>11</v>
      </c>
      <c r="C10" s="4" t="s">
        <v>12</v>
      </c>
      <c r="D10" s="5" t="s">
        <v>23</v>
      </c>
      <c r="E10" s="5" t="s">
        <v>14</v>
      </c>
      <c r="F10" s="5" t="s">
        <v>24</v>
      </c>
      <c r="G10" s="6" t="n">
        <f aca="false">MAX(0,ROUND((TIMEVALUE(F10)-TIMEVALUE(E10))*1440,0)-10)</f>
        <v>0</v>
      </c>
      <c r="H10" s="5" t="str">
        <f aca="false">IF(G10=0,"On Time","LATE ARRIVAL - "&amp;G10&amp;" min")</f>
        <v>On Time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12</v>
      </c>
      <c r="D11" s="5" t="s">
        <v>25</v>
      </c>
      <c r="E11" s="5" t="s">
        <v>14</v>
      </c>
      <c r="F11" s="5" t="s">
        <v>26</v>
      </c>
      <c r="G11" s="6" t="n">
        <f aca="false">MAX(0,ROUND((TIMEVALUE(F11)-TIMEVALUE(E11))*1440,0)-10)</f>
        <v>12</v>
      </c>
      <c r="H11" s="5" t="str">
        <f aca="false">IF(G11=0,"On Time","LATE ARRIVAL - "&amp;G11&amp;" min")</f>
        <v>LATE ARRIVAL - 12 min</v>
      </c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12</v>
      </c>
      <c r="D12" s="5" t="s">
        <v>27</v>
      </c>
      <c r="E12" s="5" t="s">
        <v>14</v>
      </c>
      <c r="F12" s="5" t="s">
        <v>28</v>
      </c>
      <c r="G12" s="6" t="n">
        <f aca="false">MAX(0,ROUND((TIMEVALUE(F12)-TIMEVALUE(E12))*1440,0)-10)</f>
        <v>0</v>
      </c>
      <c r="H12" s="5" t="str">
        <f aca="false">IF(G12=0,"On Time","LATE ARRIVAL - "&amp;G12&amp;" min")</f>
        <v>On Time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12</v>
      </c>
      <c r="D13" s="5" t="s">
        <v>29</v>
      </c>
      <c r="E13" s="5" t="s">
        <v>14</v>
      </c>
      <c r="F13" s="5" t="s">
        <v>26</v>
      </c>
      <c r="G13" s="6" t="n">
        <f aca="false">MAX(0,ROUND((TIMEVALUE(F13)-TIMEVALUE(E13))*1440,0)-10)</f>
        <v>12</v>
      </c>
      <c r="H13" s="5" t="str">
        <f aca="false">IF(G13=0,"On Time","LATE ARRIVAL - "&amp;G13&amp;" min")</f>
        <v>LATE ARRIVAL - 12 min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12</v>
      </c>
      <c r="D14" s="5" t="s">
        <v>30</v>
      </c>
      <c r="E14" s="5" t="s">
        <v>14</v>
      </c>
      <c r="F14" s="5" t="s">
        <v>31</v>
      </c>
      <c r="G14" s="6" t="n">
        <f aca="false">MAX(0,ROUND((TIMEVALUE(F14)-TIMEVALUE(E14))*1440,0)-10)</f>
        <v>0</v>
      </c>
      <c r="H14" s="5" t="str">
        <f aca="false">IF(G14=0,"On Time","LATE ARRIVAL - "&amp;G14&amp;" min")</f>
        <v>On Time</v>
      </c>
    </row>
    <row r="15" customFormat="false" ht="15" hidden="false" customHeight="false" outlineLevel="0" collapsed="false">
      <c r="A15" s="4" t="s">
        <v>10</v>
      </c>
      <c r="B15" s="4" t="s">
        <v>11</v>
      </c>
      <c r="C15" s="4" t="s">
        <v>12</v>
      </c>
      <c r="D15" s="5" t="s">
        <v>32</v>
      </c>
      <c r="E15" s="5" t="s">
        <v>14</v>
      </c>
      <c r="F15" s="5" t="s">
        <v>17</v>
      </c>
      <c r="G15" s="6" t="n">
        <f aca="false">MAX(0,ROUND((TIMEVALUE(F15)-TIMEVALUE(E15))*1440,0)-10)</f>
        <v>0</v>
      </c>
      <c r="H15" s="5" t="str">
        <f aca="false">IF(G15=0,"On Time","LATE ARRIVAL - "&amp;G15&amp;" min")</f>
        <v>On Time</v>
      </c>
    </row>
    <row r="16" customFormat="false" ht="15" hidden="false" customHeight="false" outlineLevel="0" collapsed="false">
      <c r="A16" s="4" t="s">
        <v>10</v>
      </c>
      <c r="B16" s="4" t="s">
        <v>11</v>
      </c>
      <c r="C16" s="4" t="s">
        <v>12</v>
      </c>
      <c r="D16" s="5" t="s">
        <v>33</v>
      </c>
      <c r="E16" s="5" t="s">
        <v>14</v>
      </c>
      <c r="F16" s="5" t="s">
        <v>34</v>
      </c>
      <c r="G16" s="6" t="n">
        <f aca="false">MAX(0,ROUND((TIMEVALUE(F16)-TIMEVALUE(E16))*1440,0)-10)</f>
        <v>0</v>
      </c>
      <c r="H16" s="5" t="str">
        <f aca="false">IF(G16=0,"On Time","LATE ARRIVAL - "&amp;G16&amp;" min")</f>
        <v>On Time</v>
      </c>
    </row>
    <row r="17" customFormat="false" ht="15" hidden="false" customHeight="false" outlineLevel="0" collapsed="false">
      <c r="A17" s="4" t="s">
        <v>10</v>
      </c>
      <c r="B17" s="4" t="s">
        <v>11</v>
      </c>
      <c r="C17" s="4" t="s">
        <v>12</v>
      </c>
      <c r="D17" s="5" t="s">
        <v>35</v>
      </c>
      <c r="E17" s="5" t="s">
        <v>14</v>
      </c>
      <c r="F17" s="5" t="s">
        <v>15</v>
      </c>
      <c r="G17" s="6" t="n">
        <f aca="false">MAX(0,ROUND((TIMEVALUE(F17)-TIMEVALUE(E17))*1440,0)-10)</f>
        <v>0</v>
      </c>
      <c r="H17" s="5" t="str">
        <f aca="false">IF(G17=0,"On Time","LATE ARRIVAL - "&amp;G17&amp;" min")</f>
        <v>On Time</v>
      </c>
    </row>
    <row r="18" customFormat="false" ht="15" hidden="false" customHeight="false" outlineLevel="0" collapsed="false">
      <c r="A18" s="4" t="s">
        <v>10</v>
      </c>
      <c r="B18" s="4" t="s">
        <v>11</v>
      </c>
      <c r="C18" s="4" t="s">
        <v>12</v>
      </c>
      <c r="D18" s="5" t="s">
        <v>36</v>
      </c>
      <c r="E18" s="5" t="s">
        <v>14</v>
      </c>
      <c r="F18" s="5" t="s">
        <v>37</v>
      </c>
      <c r="G18" s="6" t="n">
        <f aca="false">MAX(0,ROUND((TIMEVALUE(F18)-TIMEVALUE(E18))*1440,0)-10)</f>
        <v>0</v>
      </c>
      <c r="H18" s="5" t="str">
        <f aca="false">IF(G18=0,"On Time","LATE ARRIVAL - "&amp;G18&amp;" min")</f>
        <v>On Time</v>
      </c>
    </row>
    <row r="19" customFormat="false" ht="15" hidden="false" customHeight="false" outlineLevel="0" collapsed="false">
      <c r="A19" s="4" t="s">
        <v>10</v>
      </c>
      <c r="B19" s="4" t="s">
        <v>11</v>
      </c>
      <c r="C19" s="4" t="s">
        <v>12</v>
      </c>
      <c r="D19" s="5" t="s">
        <v>38</v>
      </c>
      <c r="E19" s="5" t="s">
        <v>14</v>
      </c>
      <c r="F19" s="5" t="s">
        <v>39</v>
      </c>
      <c r="G19" s="6" t="n">
        <f aca="false">MAX(0,ROUND((TIMEVALUE(F19)-TIMEVALUE(E19))*1440,0)-10)</f>
        <v>0</v>
      </c>
      <c r="H19" s="5" t="str">
        <f aca="false">IF(G19=0,"On Time","LATE ARRIVAL - "&amp;G19&amp;" min")</f>
        <v>On Time</v>
      </c>
    </row>
    <row r="20" customFormat="false" ht="15" hidden="false" customHeight="false" outlineLevel="0" collapsed="false">
      <c r="A20" s="4" t="s">
        <v>10</v>
      </c>
      <c r="B20" s="4" t="s">
        <v>11</v>
      </c>
      <c r="C20" s="4" t="s">
        <v>12</v>
      </c>
      <c r="D20" s="5" t="s">
        <v>40</v>
      </c>
      <c r="E20" s="5" t="s">
        <v>14</v>
      </c>
      <c r="F20" s="5" t="s">
        <v>41</v>
      </c>
      <c r="G20" s="6" t="n">
        <f aca="false">MAX(0,ROUND((TIMEVALUE(F20)-TIMEVALUE(E20))*1440,0)-10)</f>
        <v>0</v>
      </c>
      <c r="H20" s="5" t="str">
        <f aca="false">IF(G20=0,"On Time","LATE ARRIVAL - "&amp;G20&amp;" min")</f>
        <v>On Time</v>
      </c>
    </row>
    <row r="21" customFormat="false" ht="15" hidden="false" customHeight="false" outlineLevel="0" collapsed="false">
      <c r="A21" s="4" t="s">
        <v>10</v>
      </c>
      <c r="B21" s="4" t="s">
        <v>11</v>
      </c>
      <c r="C21" s="4" t="s">
        <v>12</v>
      </c>
      <c r="D21" s="5" t="s">
        <v>42</v>
      </c>
      <c r="E21" s="5" t="s">
        <v>14</v>
      </c>
      <c r="F21" s="5" t="s">
        <v>39</v>
      </c>
      <c r="G21" s="6" t="n">
        <f aca="false">MAX(0,ROUND((TIMEVALUE(F21)-TIMEVALUE(E21))*1440,0)-10)</f>
        <v>0</v>
      </c>
      <c r="H21" s="5" t="str">
        <f aca="false">IF(G21=0,"On Time","LATE ARRIVAL - "&amp;G21&amp;" min")</f>
        <v>On Time</v>
      </c>
    </row>
    <row r="22" customFormat="false" ht="15" hidden="false" customHeight="false" outlineLevel="0" collapsed="false">
      <c r="A22" s="4" t="s">
        <v>10</v>
      </c>
      <c r="B22" s="4" t="s">
        <v>11</v>
      </c>
      <c r="C22" s="4" t="s">
        <v>12</v>
      </c>
      <c r="D22" s="5" t="s">
        <v>43</v>
      </c>
      <c r="E22" s="5" t="s">
        <v>14</v>
      </c>
      <c r="F22" s="5" t="s">
        <v>44</v>
      </c>
      <c r="G22" s="6" t="n">
        <f aca="false">MAX(0,ROUND((TIMEVALUE(F22)-TIMEVALUE(E22))*1440,0)-10)</f>
        <v>0</v>
      </c>
      <c r="H22" s="5" t="str">
        <f aca="false">IF(G22=0,"On Time","LATE ARRIVAL - "&amp;G22&amp;" min")</f>
        <v>On Time</v>
      </c>
    </row>
    <row r="23" customFormat="false" ht="15" hidden="false" customHeight="false" outlineLevel="0" collapsed="false">
      <c r="A23" s="4" t="s">
        <v>10</v>
      </c>
      <c r="B23" s="4" t="s">
        <v>11</v>
      </c>
      <c r="C23" s="4" t="s">
        <v>12</v>
      </c>
      <c r="D23" s="5" t="s">
        <v>45</v>
      </c>
      <c r="E23" s="5" t="s">
        <v>14</v>
      </c>
      <c r="F23" s="5" t="s">
        <v>46</v>
      </c>
      <c r="G23" s="6" t="n">
        <f aca="false">MAX(0,ROUND((TIMEVALUE(F23)-TIMEVALUE(E23))*1440,0)-10)</f>
        <v>0</v>
      </c>
      <c r="H23" s="5" t="str">
        <f aca="false">IF(G23=0,"On Time","LATE ARRIVAL - "&amp;G23&amp;" min")</f>
        <v>On Time</v>
      </c>
    </row>
    <row r="24" customFormat="false" ht="15" hidden="false" customHeight="false" outlineLevel="0" collapsed="false">
      <c r="A24" s="4" t="s">
        <v>10</v>
      </c>
      <c r="B24" s="4" t="s">
        <v>11</v>
      </c>
      <c r="C24" s="4" t="s">
        <v>12</v>
      </c>
      <c r="D24" s="5" t="s">
        <v>47</v>
      </c>
      <c r="E24" s="5" t="s">
        <v>14</v>
      </c>
      <c r="F24" s="5" t="s">
        <v>24</v>
      </c>
      <c r="G24" s="6" t="n">
        <f aca="false">MAX(0,ROUND((TIMEVALUE(F24)-TIMEVALUE(E24))*1440,0)-10)</f>
        <v>0</v>
      </c>
      <c r="H24" s="5" t="str">
        <f aca="false">IF(G24=0,"On Time","LATE ARRIVAL - "&amp;G24&amp;" min")</f>
        <v>On Time</v>
      </c>
    </row>
    <row r="25" customFormat="false" ht="15" hidden="false" customHeight="false" outlineLevel="0" collapsed="false">
      <c r="A25" s="4" t="s">
        <v>10</v>
      </c>
      <c r="B25" s="4" t="s">
        <v>11</v>
      </c>
      <c r="C25" s="4" t="s">
        <v>12</v>
      </c>
      <c r="D25" s="5" t="s">
        <v>48</v>
      </c>
      <c r="E25" s="5" t="s">
        <v>14</v>
      </c>
      <c r="F25" s="5" t="s">
        <v>49</v>
      </c>
      <c r="G25" s="6" t="n">
        <f aca="false">MAX(0,ROUND((TIMEVALUE(F25)-TIMEVALUE(E25))*1440,0)-10)</f>
        <v>0</v>
      </c>
      <c r="H25" s="5" t="str">
        <f aca="false">IF(G25=0,"On Time","LATE ARRIVAL - "&amp;G25&amp;" min")</f>
        <v>On Time</v>
      </c>
    </row>
    <row r="26" customFormat="false" ht="15" hidden="false" customHeight="false" outlineLevel="0" collapsed="false">
      <c r="A26" s="4" t="s">
        <v>10</v>
      </c>
      <c r="B26" s="4" t="s">
        <v>11</v>
      </c>
      <c r="C26" s="4" t="s">
        <v>12</v>
      </c>
      <c r="D26" s="5" t="s">
        <v>50</v>
      </c>
      <c r="E26" s="5" t="s">
        <v>14</v>
      </c>
      <c r="F26" s="5" t="s">
        <v>44</v>
      </c>
      <c r="G26" s="6" t="n">
        <f aca="false">MAX(0,ROUND((TIMEVALUE(F26)-TIMEVALUE(E26))*1440,0)-10)</f>
        <v>0</v>
      </c>
      <c r="H26" s="5" t="str">
        <f aca="false">IF(G26=0,"On Time","LATE ARRIVAL - "&amp;G26&amp;" min")</f>
        <v>On Time</v>
      </c>
    </row>
    <row r="27" customFormat="false" ht="15" hidden="false" customHeight="false" outlineLevel="0" collapsed="false">
      <c r="A27" s="4" t="s">
        <v>51</v>
      </c>
      <c r="B27" s="4" t="s">
        <v>52</v>
      </c>
      <c r="C27" s="4" t="s">
        <v>53</v>
      </c>
      <c r="D27" s="5" t="s">
        <v>13</v>
      </c>
      <c r="E27" s="5" t="s">
        <v>14</v>
      </c>
      <c r="F27" s="5" t="s">
        <v>54</v>
      </c>
      <c r="G27" s="6" t="n">
        <f aca="false">MAX(0,ROUND((TIMEVALUE(F27)-TIMEVALUE(E27))*1440,0)-10)</f>
        <v>15</v>
      </c>
      <c r="H27" s="5" t="str">
        <f aca="false">IF(G27=0,"On Time","LATE ARRIVAL - "&amp;G27&amp;" min")</f>
        <v>LATE ARRIVAL - 15 min</v>
      </c>
    </row>
    <row r="28" customFormat="false" ht="15" hidden="false" customHeight="false" outlineLevel="0" collapsed="false">
      <c r="A28" s="4" t="s">
        <v>51</v>
      </c>
      <c r="B28" s="4" t="s">
        <v>52</v>
      </c>
      <c r="C28" s="4" t="s">
        <v>53</v>
      </c>
      <c r="D28" s="5" t="s">
        <v>16</v>
      </c>
      <c r="E28" s="5" t="s">
        <v>14</v>
      </c>
      <c r="F28" s="5" t="s">
        <v>28</v>
      </c>
      <c r="G28" s="6" t="n">
        <f aca="false">MAX(0,ROUND((TIMEVALUE(F28)-TIMEVALUE(E28))*1440,0)-10)</f>
        <v>0</v>
      </c>
      <c r="H28" s="5" t="str">
        <f aca="false">IF(G28=0,"On Time","LATE ARRIVAL - "&amp;G28&amp;" min")</f>
        <v>On Time</v>
      </c>
    </row>
    <row r="29" customFormat="false" ht="15" hidden="false" customHeight="false" outlineLevel="0" collapsed="false">
      <c r="A29" s="4" t="s">
        <v>51</v>
      </c>
      <c r="B29" s="4" t="s">
        <v>52</v>
      </c>
      <c r="C29" s="4" t="s">
        <v>53</v>
      </c>
      <c r="D29" s="5" t="s">
        <v>18</v>
      </c>
      <c r="E29" s="5" t="s">
        <v>14</v>
      </c>
      <c r="F29" s="5" t="s">
        <v>46</v>
      </c>
      <c r="G29" s="6" t="n">
        <f aca="false">MAX(0,ROUND((TIMEVALUE(F29)-TIMEVALUE(E29))*1440,0)-10)</f>
        <v>0</v>
      </c>
      <c r="H29" s="5" t="str">
        <f aca="false">IF(G29=0,"On Time","LATE ARRIVAL - "&amp;G29&amp;" min")</f>
        <v>On Time</v>
      </c>
    </row>
    <row r="30" customFormat="false" ht="15" hidden="false" customHeight="false" outlineLevel="0" collapsed="false">
      <c r="A30" s="4" t="s">
        <v>51</v>
      </c>
      <c r="B30" s="4" t="s">
        <v>52</v>
      </c>
      <c r="C30" s="4" t="s">
        <v>53</v>
      </c>
      <c r="D30" s="5" t="s">
        <v>20</v>
      </c>
      <c r="E30" s="5" t="s">
        <v>14</v>
      </c>
      <c r="F30" s="5" t="s">
        <v>31</v>
      </c>
      <c r="G30" s="6" t="n">
        <f aca="false">MAX(0,ROUND((TIMEVALUE(F30)-TIMEVALUE(E30))*1440,0)-10)</f>
        <v>0</v>
      </c>
      <c r="H30" s="5" t="str">
        <f aca="false">IF(G30=0,"On Time","LATE ARRIVAL - "&amp;G30&amp;" min")</f>
        <v>On Time</v>
      </c>
    </row>
    <row r="31" customFormat="false" ht="15" hidden="false" customHeight="false" outlineLevel="0" collapsed="false">
      <c r="A31" s="4" t="s">
        <v>51</v>
      </c>
      <c r="B31" s="4" t="s">
        <v>52</v>
      </c>
      <c r="C31" s="4" t="s">
        <v>53</v>
      </c>
      <c r="D31" s="5" t="s">
        <v>21</v>
      </c>
      <c r="E31" s="5" t="s">
        <v>14</v>
      </c>
      <c r="F31" s="5" t="s">
        <v>55</v>
      </c>
      <c r="G31" s="6" t="n">
        <f aca="false">MAX(0,ROUND((TIMEVALUE(F31)-TIMEVALUE(E31))*1440,0)-10)</f>
        <v>40</v>
      </c>
      <c r="H31" s="5" t="str">
        <f aca="false">IF(G31=0,"On Time","LATE ARRIVAL - "&amp;G31&amp;" min")</f>
        <v>LATE ARRIVAL - 40 min</v>
      </c>
    </row>
    <row r="32" customFormat="false" ht="15" hidden="false" customHeight="false" outlineLevel="0" collapsed="false">
      <c r="A32" s="4" t="s">
        <v>51</v>
      </c>
      <c r="B32" s="4" t="s">
        <v>52</v>
      </c>
      <c r="C32" s="4" t="s">
        <v>53</v>
      </c>
      <c r="D32" s="5" t="s">
        <v>23</v>
      </c>
      <c r="E32" s="5" t="s">
        <v>14</v>
      </c>
      <c r="F32" s="5" t="s">
        <v>54</v>
      </c>
      <c r="G32" s="6" t="n">
        <f aca="false">MAX(0,ROUND((TIMEVALUE(F32)-TIMEVALUE(E32))*1440,0)-10)</f>
        <v>15</v>
      </c>
      <c r="H32" s="5" t="str">
        <f aca="false">IF(G32=0,"On Time","LATE ARRIVAL - "&amp;G32&amp;" min")</f>
        <v>LATE ARRIVAL - 15 min</v>
      </c>
    </row>
    <row r="33" customFormat="false" ht="15" hidden="false" customHeight="false" outlineLevel="0" collapsed="false">
      <c r="A33" s="4" t="s">
        <v>51</v>
      </c>
      <c r="B33" s="4" t="s">
        <v>52</v>
      </c>
      <c r="C33" s="4" t="s">
        <v>53</v>
      </c>
      <c r="D33" s="5" t="s">
        <v>25</v>
      </c>
      <c r="E33" s="5" t="s">
        <v>14</v>
      </c>
      <c r="F33" s="5" t="s">
        <v>17</v>
      </c>
      <c r="G33" s="6" t="n">
        <f aca="false">MAX(0,ROUND((TIMEVALUE(F33)-TIMEVALUE(E33))*1440,0)-10)</f>
        <v>0</v>
      </c>
      <c r="H33" s="5" t="str">
        <f aca="false">IF(G33=0,"On Time","LATE ARRIVAL - "&amp;G33&amp;" min")</f>
        <v>On Time</v>
      </c>
    </row>
    <row r="34" customFormat="false" ht="15" hidden="false" customHeight="false" outlineLevel="0" collapsed="false">
      <c r="A34" s="4" t="s">
        <v>51</v>
      </c>
      <c r="B34" s="4" t="s">
        <v>52</v>
      </c>
      <c r="C34" s="4" t="s">
        <v>53</v>
      </c>
      <c r="D34" s="5" t="s">
        <v>27</v>
      </c>
      <c r="E34" s="5" t="s">
        <v>14</v>
      </c>
      <c r="F34" s="5" t="s">
        <v>44</v>
      </c>
      <c r="G34" s="6" t="n">
        <f aca="false">MAX(0,ROUND((TIMEVALUE(F34)-TIMEVALUE(E34))*1440,0)-10)</f>
        <v>0</v>
      </c>
      <c r="H34" s="5" t="str">
        <f aca="false">IF(G34=0,"On Time","LATE ARRIVAL - "&amp;G34&amp;" min")</f>
        <v>On Time</v>
      </c>
    </row>
    <row r="35" customFormat="false" ht="15" hidden="false" customHeight="false" outlineLevel="0" collapsed="false">
      <c r="A35" s="4" t="s">
        <v>51</v>
      </c>
      <c r="B35" s="4" t="s">
        <v>52</v>
      </c>
      <c r="C35" s="4" t="s">
        <v>53</v>
      </c>
      <c r="D35" s="5" t="s">
        <v>29</v>
      </c>
      <c r="E35" s="5" t="s">
        <v>14</v>
      </c>
      <c r="F35" s="5" t="s">
        <v>55</v>
      </c>
      <c r="G35" s="6" t="n">
        <f aca="false">MAX(0,ROUND((TIMEVALUE(F35)-TIMEVALUE(E35))*1440,0)-10)</f>
        <v>40</v>
      </c>
      <c r="H35" s="5" t="str">
        <f aca="false">IF(G35=0,"On Time","LATE ARRIVAL - "&amp;G35&amp;" min")</f>
        <v>LATE ARRIVAL - 40 min</v>
      </c>
    </row>
    <row r="36" customFormat="false" ht="15" hidden="false" customHeight="false" outlineLevel="0" collapsed="false">
      <c r="A36" s="4" t="s">
        <v>51</v>
      </c>
      <c r="B36" s="4" t="s">
        <v>52</v>
      </c>
      <c r="C36" s="4" t="s">
        <v>53</v>
      </c>
      <c r="D36" s="5" t="s">
        <v>30</v>
      </c>
      <c r="E36" s="5" t="s">
        <v>14</v>
      </c>
      <c r="F36" s="5" t="s">
        <v>37</v>
      </c>
      <c r="G36" s="6" t="n">
        <f aca="false">MAX(0,ROUND((TIMEVALUE(F36)-TIMEVALUE(E36))*1440,0)-10)</f>
        <v>0</v>
      </c>
      <c r="H36" s="5" t="str">
        <f aca="false">IF(G36=0,"On Time","LATE ARRIVAL - "&amp;G36&amp;" min")</f>
        <v>On Time</v>
      </c>
    </row>
    <row r="37" customFormat="false" ht="15" hidden="false" customHeight="false" outlineLevel="0" collapsed="false">
      <c r="A37" s="4" t="s">
        <v>51</v>
      </c>
      <c r="B37" s="4" t="s">
        <v>52</v>
      </c>
      <c r="C37" s="4" t="s">
        <v>53</v>
      </c>
      <c r="D37" s="5" t="s">
        <v>32</v>
      </c>
      <c r="E37" s="5" t="s">
        <v>14</v>
      </c>
      <c r="F37" s="5" t="s">
        <v>26</v>
      </c>
      <c r="G37" s="6" t="n">
        <f aca="false">MAX(0,ROUND((TIMEVALUE(F37)-TIMEVALUE(E37))*1440,0)-10)</f>
        <v>12</v>
      </c>
      <c r="H37" s="5" t="str">
        <f aca="false">IF(G37=0,"On Time","LATE ARRIVAL - "&amp;G37&amp;" min")</f>
        <v>LATE ARRIVAL - 12 min</v>
      </c>
    </row>
    <row r="38" customFormat="false" ht="15" hidden="false" customHeight="false" outlineLevel="0" collapsed="false">
      <c r="A38" s="4" t="s">
        <v>51</v>
      </c>
      <c r="B38" s="4" t="s">
        <v>52</v>
      </c>
      <c r="C38" s="4" t="s">
        <v>53</v>
      </c>
      <c r="D38" s="5" t="s">
        <v>33</v>
      </c>
      <c r="E38" s="5" t="s">
        <v>14</v>
      </c>
      <c r="F38" s="5" t="s">
        <v>31</v>
      </c>
      <c r="G38" s="6" t="n">
        <f aca="false">MAX(0,ROUND((TIMEVALUE(F38)-TIMEVALUE(E38))*1440,0)-10)</f>
        <v>0</v>
      </c>
      <c r="H38" s="5" t="str">
        <f aca="false">IF(G38=0,"On Time","LATE ARRIVAL - "&amp;G38&amp;" min")</f>
        <v>On Time</v>
      </c>
    </row>
    <row r="39" customFormat="false" ht="15" hidden="false" customHeight="false" outlineLevel="0" collapsed="false">
      <c r="A39" s="4" t="s">
        <v>51</v>
      </c>
      <c r="B39" s="4" t="s">
        <v>52</v>
      </c>
      <c r="C39" s="4" t="s">
        <v>53</v>
      </c>
      <c r="D39" s="5" t="s">
        <v>35</v>
      </c>
      <c r="E39" s="5" t="s">
        <v>14</v>
      </c>
      <c r="F39" s="5" t="s">
        <v>56</v>
      </c>
      <c r="G39" s="6" t="n">
        <f aca="false">MAX(0,ROUND((TIMEVALUE(F39)-TIMEVALUE(E39))*1440,0)-10)</f>
        <v>0</v>
      </c>
      <c r="H39" s="5" t="str">
        <f aca="false">IF(G39=0,"On Time","LATE ARRIVAL - "&amp;G39&amp;" min")</f>
        <v>On Time</v>
      </c>
    </row>
    <row r="40" customFormat="false" ht="15" hidden="false" customHeight="false" outlineLevel="0" collapsed="false">
      <c r="A40" s="4" t="s">
        <v>51</v>
      </c>
      <c r="B40" s="4" t="s">
        <v>52</v>
      </c>
      <c r="C40" s="4" t="s">
        <v>53</v>
      </c>
      <c r="D40" s="5" t="s">
        <v>36</v>
      </c>
      <c r="E40" s="5" t="s">
        <v>14</v>
      </c>
      <c r="F40" s="5" t="s">
        <v>55</v>
      </c>
      <c r="G40" s="6" t="n">
        <f aca="false">MAX(0,ROUND((TIMEVALUE(F40)-TIMEVALUE(E40))*1440,0)-10)</f>
        <v>40</v>
      </c>
      <c r="H40" s="5" t="str">
        <f aca="false">IF(G40=0,"On Time","LATE ARRIVAL - "&amp;G40&amp;" min")</f>
        <v>LATE ARRIVAL - 40 min</v>
      </c>
    </row>
    <row r="41" customFormat="false" ht="15" hidden="false" customHeight="false" outlineLevel="0" collapsed="false">
      <c r="A41" s="4" t="s">
        <v>51</v>
      </c>
      <c r="B41" s="4" t="s">
        <v>52</v>
      </c>
      <c r="C41" s="4" t="s">
        <v>53</v>
      </c>
      <c r="D41" s="5" t="s">
        <v>38</v>
      </c>
      <c r="E41" s="5" t="s">
        <v>14</v>
      </c>
      <c r="F41" s="5" t="s">
        <v>26</v>
      </c>
      <c r="G41" s="6" t="n">
        <f aca="false">MAX(0,ROUND((TIMEVALUE(F41)-TIMEVALUE(E41))*1440,0)-10)</f>
        <v>12</v>
      </c>
      <c r="H41" s="5" t="str">
        <f aca="false">IF(G41=0,"On Time","LATE ARRIVAL - "&amp;G41&amp;" min")</f>
        <v>LATE ARRIVAL - 12 min</v>
      </c>
    </row>
    <row r="42" customFormat="false" ht="15" hidden="false" customHeight="false" outlineLevel="0" collapsed="false">
      <c r="A42" s="4" t="s">
        <v>51</v>
      </c>
      <c r="B42" s="4" t="s">
        <v>52</v>
      </c>
      <c r="C42" s="4" t="s">
        <v>53</v>
      </c>
      <c r="D42" s="5" t="s">
        <v>40</v>
      </c>
      <c r="E42" s="5" t="s">
        <v>14</v>
      </c>
      <c r="F42" s="5" t="s">
        <v>57</v>
      </c>
      <c r="G42" s="6" t="n">
        <f aca="false">MAX(0,ROUND((TIMEVALUE(F42)-TIMEVALUE(E42))*1440,0)-10)</f>
        <v>20</v>
      </c>
      <c r="H42" s="5" t="str">
        <f aca="false">IF(G42=0,"On Time","LATE ARRIVAL - "&amp;G42&amp;" min")</f>
        <v>LATE ARRIVAL - 20 min</v>
      </c>
    </row>
    <row r="43" customFormat="false" ht="15" hidden="false" customHeight="false" outlineLevel="0" collapsed="false">
      <c r="A43" s="4" t="s">
        <v>51</v>
      </c>
      <c r="B43" s="4" t="s">
        <v>52</v>
      </c>
      <c r="C43" s="4" t="s">
        <v>53</v>
      </c>
      <c r="D43" s="5" t="s">
        <v>42</v>
      </c>
      <c r="E43" s="5" t="s">
        <v>14</v>
      </c>
      <c r="F43" s="5" t="s">
        <v>55</v>
      </c>
      <c r="G43" s="6" t="n">
        <f aca="false">MAX(0,ROUND((TIMEVALUE(F43)-TIMEVALUE(E43))*1440,0)-10)</f>
        <v>40</v>
      </c>
      <c r="H43" s="5" t="str">
        <f aca="false">IF(G43=0,"On Time","LATE ARRIVAL - "&amp;G43&amp;" min")</f>
        <v>LATE ARRIVAL - 40 min</v>
      </c>
    </row>
    <row r="44" customFormat="false" ht="15" hidden="false" customHeight="false" outlineLevel="0" collapsed="false">
      <c r="A44" s="4" t="s">
        <v>51</v>
      </c>
      <c r="B44" s="4" t="s">
        <v>52</v>
      </c>
      <c r="C44" s="4" t="s">
        <v>53</v>
      </c>
      <c r="D44" s="5" t="s">
        <v>43</v>
      </c>
      <c r="E44" s="5" t="s">
        <v>14</v>
      </c>
      <c r="F44" s="5" t="s">
        <v>17</v>
      </c>
      <c r="G44" s="6" t="n">
        <f aca="false">MAX(0,ROUND((TIMEVALUE(F44)-TIMEVALUE(E44))*1440,0)-10)</f>
        <v>0</v>
      </c>
      <c r="H44" s="5" t="str">
        <f aca="false">IF(G44=0,"On Time","LATE ARRIVAL - "&amp;G44&amp;" min")</f>
        <v>On Time</v>
      </c>
    </row>
    <row r="45" customFormat="false" ht="15" hidden="false" customHeight="false" outlineLevel="0" collapsed="false">
      <c r="A45" s="4" t="s">
        <v>51</v>
      </c>
      <c r="B45" s="4" t="s">
        <v>52</v>
      </c>
      <c r="C45" s="4" t="s">
        <v>53</v>
      </c>
      <c r="D45" s="5" t="s">
        <v>45</v>
      </c>
      <c r="E45" s="5" t="s">
        <v>14</v>
      </c>
      <c r="F45" s="5" t="s">
        <v>58</v>
      </c>
      <c r="G45" s="6" t="n">
        <f aca="false">MAX(0,ROUND((TIMEVALUE(F45)-TIMEVALUE(E45))*1440,0)-10)</f>
        <v>0</v>
      </c>
      <c r="H45" s="5" t="str">
        <f aca="false">IF(G45=0,"On Time","LATE ARRIVAL - "&amp;G45&amp;" min")</f>
        <v>On Time</v>
      </c>
    </row>
    <row r="46" customFormat="false" ht="15" hidden="false" customHeight="false" outlineLevel="0" collapsed="false">
      <c r="A46" s="4" t="s">
        <v>51</v>
      </c>
      <c r="B46" s="4" t="s">
        <v>52</v>
      </c>
      <c r="C46" s="4" t="s">
        <v>53</v>
      </c>
      <c r="D46" s="5" t="s">
        <v>47</v>
      </c>
      <c r="E46" s="5" t="s">
        <v>14</v>
      </c>
      <c r="F46" s="5" t="s">
        <v>17</v>
      </c>
      <c r="G46" s="6" t="n">
        <f aca="false">MAX(0,ROUND((TIMEVALUE(F46)-TIMEVALUE(E46))*1440,0)-10)</f>
        <v>0</v>
      </c>
      <c r="H46" s="5" t="str">
        <f aca="false">IF(G46=0,"On Time","LATE ARRIVAL - "&amp;G46&amp;" min")</f>
        <v>On Time</v>
      </c>
    </row>
    <row r="47" customFormat="false" ht="15" hidden="false" customHeight="false" outlineLevel="0" collapsed="false">
      <c r="A47" s="4" t="s">
        <v>51</v>
      </c>
      <c r="B47" s="4" t="s">
        <v>52</v>
      </c>
      <c r="C47" s="4" t="s">
        <v>53</v>
      </c>
      <c r="D47" s="5" t="s">
        <v>48</v>
      </c>
      <c r="E47" s="5" t="s">
        <v>14</v>
      </c>
      <c r="F47" s="5" t="s">
        <v>39</v>
      </c>
      <c r="G47" s="6" t="n">
        <f aca="false">MAX(0,ROUND((TIMEVALUE(F47)-TIMEVALUE(E47))*1440,0)-10)</f>
        <v>0</v>
      </c>
      <c r="H47" s="5" t="str">
        <f aca="false">IF(G47=0,"On Time","LATE ARRIVAL - "&amp;G47&amp;" min")</f>
        <v>On Time</v>
      </c>
    </row>
    <row r="48" customFormat="false" ht="15" hidden="false" customHeight="false" outlineLevel="0" collapsed="false">
      <c r="A48" s="4" t="s">
        <v>51</v>
      </c>
      <c r="B48" s="4" t="s">
        <v>52</v>
      </c>
      <c r="C48" s="4" t="s">
        <v>53</v>
      </c>
      <c r="D48" s="5" t="s">
        <v>50</v>
      </c>
      <c r="E48" s="5" t="s">
        <v>14</v>
      </c>
      <c r="F48" s="5" t="s">
        <v>22</v>
      </c>
      <c r="G48" s="6" t="n">
        <f aca="false">MAX(0,ROUND((TIMEVALUE(F48)-TIMEVALUE(E48))*1440,0)-10)</f>
        <v>0</v>
      </c>
      <c r="H48" s="5" t="str">
        <f aca="false">IF(G48=0,"On Time","LATE ARRIVAL - "&amp;G48&amp;" min")</f>
        <v>On Time</v>
      </c>
    </row>
    <row r="49" customFormat="false" ht="15" hidden="false" customHeight="false" outlineLevel="0" collapsed="false">
      <c r="A49" s="4" t="s">
        <v>59</v>
      </c>
      <c r="B49" s="4" t="s">
        <v>60</v>
      </c>
      <c r="C49" s="4" t="s">
        <v>61</v>
      </c>
      <c r="D49" s="5" t="s">
        <v>13</v>
      </c>
      <c r="E49" s="5" t="s">
        <v>14</v>
      </c>
      <c r="F49" s="5" t="s">
        <v>62</v>
      </c>
      <c r="G49" s="6" t="n">
        <f aca="false">MAX(0,ROUND((TIMEVALUE(F49)-TIMEVALUE(E49))*1440,0)-10)</f>
        <v>0</v>
      </c>
      <c r="H49" s="5" t="str">
        <f aca="false">IF(G49=0,"On Time","LATE ARRIVAL - "&amp;G49&amp;" min")</f>
        <v>On Time</v>
      </c>
    </row>
    <row r="50" customFormat="false" ht="15" hidden="false" customHeight="false" outlineLevel="0" collapsed="false">
      <c r="A50" s="4" t="s">
        <v>59</v>
      </c>
      <c r="B50" s="4" t="s">
        <v>60</v>
      </c>
      <c r="C50" s="4" t="s">
        <v>61</v>
      </c>
      <c r="D50" s="5" t="s">
        <v>16</v>
      </c>
      <c r="E50" s="5" t="s">
        <v>14</v>
      </c>
      <c r="F50" s="5" t="s">
        <v>39</v>
      </c>
      <c r="G50" s="6" t="n">
        <f aca="false">MAX(0,ROUND((TIMEVALUE(F50)-TIMEVALUE(E50))*1440,0)-10)</f>
        <v>0</v>
      </c>
      <c r="H50" s="5" t="str">
        <f aca="false">IF(G50=0,"On Time","LATE ARRIVAL - "&amp;G50&amp;" min")</f>
        <v>On Time</v>
      </c>
    </row>
    <row r="51" customFormat="false" ht="15" hidden="false" customHeight="false" outlineLevel="0" collapsed="false">
      <c r="A51" s="4" t="s">
        <v>59</v>
      </c>
      <c r="B51" s="4" t="s">
        <v>60</v>
      </c>
      <c r="C51" s="4" t="s">
        <v>61</v>
      </c>
      <c r="D51" s="5" t="s">
        <v>18</v>
      </c>
      <c r="E51" s="5" t="s">
        <v>14</v>
      </c>
      <c r="F51" s="5" t="s">
        <v>14</v>
      </c>
      <c r="G51" s="6" t="n">
        <f aca="false">MAX(0,ROUND((TIMEVALUE(F51)-TIMEVALUE(E51))*1440,0)-10)</f>
        <v>0</v>
      </c>
      <c r="H51" s="5" t="str">
        <f aca="false">IF(G51=0,"On Time","LATE ARRIVAL - "&amp;G51&amp;" min")</f>
        <v>On Time</v>
      </c>
    </row>
    <row r="52" customFormat="false" ht="15" hidden="false" customHeight="false" outlineLevel="0" collapsed="false">
      <c r="A52" s="4" t="s">
        <v>59</v>
      </c>
      <c r="B52" s="4" t="s">
        <v>60</v>
      </c>
      <c r="C52" s="4" t="s">
        <v>61</v>
      </c>
      <c r="D52" s="5" t="s">
        <v>20</v>
      </c>
      <c r="E52" s="5" t="s">
        <v>14</v>
      </c>
      <c r="F52" s="5" t="s">
        <v>56</v>
      </c>
      <c r="G52" s="6" t="n">
        <f aca="false">MAX(0,ROUND((TIMEVALUE(F52)-TIMEVALUE(E52))*1440,0)-10)</f>
        <v>0</v>
      </c>
      <c r="H52" s="5" t="str">
        <f aca="false">IF(G52=0,"On Time","LATE ARRIVAL - "&amp;G52&amp;" min")</f>
        <v>On Time</v>
      </c>
    </row>
    <row r="53" customFormat="false" ht="15" hidden="false" customHeight="false" outlineLevel="0" collapsed="false">
      <c r="A53" s="4" t="s">
        <v>59</v>
      </c>
      <c r="B53" s="4" t="s">
        <v>60</v>
      </c>
      <c r="C53" s="4" t="s">
        <v>61</v>
      </c>
      <c r="D53" s="5" t="s">
        <v>21</v>
      </c>
      <c r="E53" s="5" t="s">
        <v>14</v>
      </c>
      <c r="F53" s="5" t="s">
        <v>34</v>
      </c>
      <c r="G53" s="6" t="n">
        <f aca="false">MAX(0,ROUND((TIMEVALUE(F53)-TIMEVALUE(E53))*1440,0)-10)</f>
        <v>0</v>
      </c>
      <c r="H53" s="5" t="str">
        <f aca="false">IF(G53=0,"On Time","LATE ARRIVAL - "&amp;G53&amp;" min")</f>
        <v>On Time</v>
      </c>
    </row>
    <row r="54" customFormat="false" ht="15" hidden="false" customHeight="false" outlineLevel="0" collapsed="false">
      <c r="A54" s="4" t="s">
        <v>59</v>
      </c>
      <c r="B54" s="4" t="s">
        <v>60</v>
      </c>
      <c r="C54" s="4" t="s">
        <v>61</v>
      </c>
      <c r="D54" s="5" t="s">
        <v>23</v>
      </c>
      <c r="E54" s="5" t="s">
        <v>14</v>
      </c>
      <c r="F54" s="5" t="s">
        <v>19</v>
      </c>
      <c r="G54" s="6" t="n">
        <f aca="false">MAX(0,ROUND((TIMEVALUE(F54)-TIMEVALUE(E54))*1440,0)-10)</f>
        <v>0</v>
      </c>
      <c r="H54" s="5" t="str">
        <f aca="false">IF(G54=0,"On Time","LATE ARRIVAL - "&amp;G54&amp;" min")</f>
        <v>On Time</v>
      </c>
    </row>
    <row r="55" customFormat="false" ht="15" hidden="false" customHeight="false" outlineLevel="0" collapsed="false">
      <c r="A55" s="4" t="s">
        <v>59</v>
      </c>
      <c r="B55" s="4" t="s">
        <v>60</v>
      </c>
      <c r="C55" s="4" t="s">
        <v>61</v>
      </c>
      <c r="D55" s="5" t="s">
        <v>25</v>
      </c>
      <c r="E55" s="5" t="s">
        <v>14</v>
      </c>
      <c r="F55" s="5" t="s">
        <v>34</v>
      </c>
      <c r="G55" s="6" t="n">
        <f aca="false">MAX(0,ROUND((TIMEVALUE(F55)-TIMEVALUE(E55))*1440,0)-10)</f>
        <v>0</v>
      </c>
      <c r="H55" s="5" t="str">
        <f aca="false">IF(G55=0,"On Time","LATE ARRIVAL - "&amp;G55&amp;" min")</f>
        <v>On Time</v>
      </c>
    </row>
    <row r="56" customFormat="false" ht="15" hidden="false" customHeight="false" outlineLevel="0" collapsed="false">
      <c r="A56" s="4" t="s">
        <v>59</v>
      </c>
      <c r="B56" s="4" t="s">
        <v>60</v>
      </c>
      <c r="C56" s="4" t="s">
        <v>61</v>
      </c>
      <c r="D56" s="5" t="s">
        <v>27</v>
      </c>
      <c r="E56" s="5" t="s">
        <v>14</v>
      </c>
      <c r="F56" s="5" t="s">
        <v>63</v>
      </c>
      <c r="G56" s="6" t="n">
        <f aca="false">MAX(0,ROUND((TIMEVALUE(F56)-TIMEVALUE(E56))*1440,0)-10)</f>
        <v>0</v>
      </c>
      <c r="H56" s="5" t="str">
        <f aca="false">IF(G56=0,"On Time","LATE ARRIVAL - "&amp;G56&amp;" min")</f>
        <v>On Time</v>
      </c>
    </row>
    <row r="57" customFormat="false" ht="15" hidden="false" customHeight="false" outlineLevel="0" collapsed="false">
      <c r="A57" s="4" t="s">
        <v>59</v>
      </c>
      <c r="B57" s="4" t="s">
        <v>60</v>
      </c>
      <c r="C57" s="4" t="s">
        <v>61</v>
      </c>
      <c r="D57" s="5" t="s">
        <v>29</v>
      </c>
      <c r="E57" s="5" t="s">
        <v>14</v>
      </c>
      <c r="F57" s="5" t="s">
        <v>44</v>
      </c>
      <c r="G57" s="6" t="n">
        <f aca="false">MAX(0,ROUND((TIMEVALUE(F57)-TIMEVALUE(E57))*1440,0)-10)</f>
        <v>0</v>
      </c>
      <c r="H57" s="5" t="str">
        <f aca="false">IF(G57=0,"On Time","LATE ARRIVAL - "&amp;G57&amp;" min")</f>
        <v>On Time</v>
      </c>
    </row>
    <row r="58" customFormat="false" ht="15" hidden="false" customHeight="false" outlineLevel="0" collapsed="false">
      <c r="A58" s="4" t="s">
        <v>59</v>
      </c>
      <c r="B58" s="4" t="s">
        <v>60</v>
      </c>
      <c r="C58" s="4" t="s">
        <v>61</v>
      </c>
      <c r="D58" s="5" t="s">
        <v>30</v>
      </c>
      <c r="E58" s="5" t="s">
        <v>14</v>
      </c>
      <c r="F58" s="5" t="s">
        <v>64</v>
      </c>
      <c r="G58" s="6" t="n">
        <f aca="false">MAX(0,ROUND((TIMEVALUE(F58)-TIMEVALUE(E58))*1440,0)-10)</f>
        <v>0</v>
      </c>
      <c r="H58" s="5" t="str">
        <f aca="false">IF(G58=0,"On Time","LATE ARRIVAL - "&amp;G58&amp;" min")</f>
        <v>On Time</v>
      </c>
    </row>
    <row r="59" customFormat="false" ht="15" hidden="false" customHeight="false" outlineLevel="0" collapsed="false">
      <c r="A59" s="4" t="s">
        <v>59</v>
      </c>
      <c r="B59" s="4" t="s">
        <v>60</v>
      </c>
      <c r="C59" s="4" t="s">
        <v>61</v>
      </c>
      <c r="D59" s="5" t="s">
        <v>32</v>
      </c>
      <c r="E59" s="5" t="s">
        <v>14</v>
      </c>
      <c r="F59" s="5" t="s">
        <v>22</v>
      </c>
      <c r="G59" s="6" t="n">
        <f aca="false">MAX(0,ROUND((TIMEVALUE(F59)-TIMEVALUE(E59))*1440,0)-10)</f>
        <v>0</v>
      </c>
      <c r="H59" s="5" t="str">
        <f aca="false">IF(G59=0,"On Time","LATE ARRIVAL - "&amp;G59&amp;" min")</f>
        <v>On Time</v>
      </c>
    </row>
    <row r="60" customFormat="false" ht="15" hidden="false" customHeight="false" outlineLevel="0" collapsed="false">
      <c r="A60" s="4" t="s">
        <v>59</v>
      </c>
      <c r="B60" s="4" t="s">
        <v>60</v>
      </c>
      <c r="C60" s="4" t="s">
        <v>61</v>
      </c>
      <c r="D60" s="5" t="s">
        <v>33</v>
      </c>
      <c r="E60" s="5" t="s">
        <v>14</v>
      </c>
      <c r="F60" s="5" t="s">
        <v>65</v>
      </c>
      <c r="G60" s="6" t="n">
        <f aca="false">MAX(0,ROUND((TIMEVALUE(F60)-TIMEVALUE(E60))*1440,0)-10)</f>
        <v>0</v>
      </c>
      <c r="H60" s="5" t="str">
        <f aca="false">IF(G60=0,"On Time","LATE ARRIVAL - "&amp;G60&amp;" min")</f>
        <v>On Time</v>
      </c>
    </row>
    <row r="61" customFormat="false" ht="15" hidden="false" customHeight="false" outlineLevel="0" collapsed="false">
      <c r="A61" s="4" t="s">
        <v>59</v>
      </c>
      <c r="B61" s="4" t="s">
        <v>60</v>
      </c>
      <c r="C61" s="4" t="s">
        <v>61</v>
      </c>
      <c r="D61" s="5" t="s">
        <v>35</v>
      </c>
      <c r="E61" s="5" t="s">
        <v>14</v>
      </c>
      <c r="F61" s="5" t="s">
        <v>37</v>
      </c>
      <c r="G61" s="6" t="n">
        <f aca="false">MAX(0,ROUND((TIMEVALUE(F61)-TIMEVALUE(E61))*1440,0)-10)</f>
        <v>0</v>
      </c>
      <c r="H61" s="5" t="str">
        <f aca="false">IF(G61=0,"On Time","LATE ARRIVAL - "&amp;G61&amp;" min")</f>
        <v>On Time</v>
      </c>
    </row>
    <row r="62" customFormat="false" ht="15" hidden="false" customHeight="false" outlineLevel="0" collapsed="false">
      <c r="A62" s="4" t="s">
        <v>59</v>
      </c>
      <c r="B62" s="4" t="s">
        <v>60</v>
      </c>
      <c r="C62" s="4" t="s">
        <v>61</v>
      </c>
      <c r="D62" s="5" t="s">
        <v>36</v>
      </c>
      <c r="E62" s="5" t="s">
        <v>14</v>
      </c>
      <c r="F62" s="5" t="s">
        <v>63</v>
      </c>
      <c r="G62" s="6" t="n">
        <f aca="false">MAX(0,ROUND((TIMEVALUE(F62)-TIMEVALUE(E62))*1440,0)-10)</f>
        <v>0</v>
      </c>
      <c r="H62" s="5" t="str">
        <f aca="false">IF(G62=0,"On Time","LATE ARRIVAL - "&amp;G62&amp;" min")</f>
        <v>On Time</v>
      </c>
    </row>
    <row r="63" customFormat="false" ht="15" hidden="false" customHeight="false" outlineLevel="0" collapsed="false">
      <c r="A63" s="4" t="s">
        <v>59</v>
      </c>
      <c r="B63" s="4" t="s">
        <v>60</v>
      </c>
      <c r="C63" s="4" t="s">
        <v>61</v>
      </c>
      <c r="D63" s="5" t="s">
        <v>38</v>
      </c>
      <c r="E63" s="5" t="s">
        <v>14</v>
      </c>
      <c r="F63" s="5" t="s">
        <v>44</v>
      </c>
      <c r="G63" s="6" t="n">
        <f aca="false">MAX(0,ROUND((TIMEVALUE(F63)-TIMEVALUE(E63))*1440,0)-10)</f>
        <v>0</v>
      </c>
      <c r="H63" s="5" t="str">
        <f aca="false">IF(G63=0,"On Time","LATE ARRIVAL - "&amp;G63&amp;" min")</f>
        <v>On Time</v>
      </c>
    </row>
    <row r="64" customFormat="false" ht="15" hidden="false" customHeight="false" outlineLevel="0" collapsed="false">
      <c r="A64" s="4" t="s">
        <v>59</v>
      </c>
      <c r="B64" s="4" t="s">
        <v>60</v>
      </c>
      <c r="C64" s="4" t="s">
        <v>61</v>
      </c>
      <c r="D64" s="5" t="s">
        <v>40</v>
      </c>
      <c r="E64" s="5" t="s">
        <v>14</v>
      </c>
      <c r="F64" s="5" t="s">
        <v>66</v>
      </c>
      <c r="G64" s="6" t="n">
        <f aca="false">MAX(0,ROUND((TIMEVALUE(F64)-TIMEVALUE(E64))*1440,0)-10)</f>
        <v>0</v>
      </c>
      <c r="H64" s="5" t="str">
        <f aca="false">IF(G64=0,"On Time","LATE ARRIVAL - "&amp;G64&amp;" min")</f>
        <v>On Time</v>
      </c>
    </row>
    <row r="65" customFormat="false" ht="15" hidden="false" customHeight="false" outlineLevel="0" collapsed="false">
      <c r="A65" s="4" t="s">
        <v>59</v>
      </c>
      <c r="B65" s="4" t="s">
        <v>60</v>
      </c>
      <c r="C65" s="4" t="s">
        <v>61</v>
      </c>
      <c r="D65" s="5" t="s">
        <v>42</v>
      </c>
      <c r="E65" s="5" t="s">
        <v>14</v>
      </c>
      <c r="F65" s="5" t="s">
        <v>49</v>
      </c>
      <c r="G65" s="6" t="n">
        <f aca="false">MAX(0,ROUND((TIMEVALUE(F65)-TIMEVALUE(E65))*1440,0)-10)</f>
        <v>0</v>
      </c>
      <c r="H65" s="5" t="str">
        <f aca="false">IF(G65=0,"On Time","LATE ARRIVAL - "&amp;G65&amp;" min")</f>
        <v>On Time</v>
      </c>
    </row>
    <row r="66" customFormat="false" ht="15" hidden="false" customHeight="false" outlineLevel="0" collapsed="false">
      <c r="A66" s="4" t="s">
        <v>59</v>
      </c>
      <c r="B66" s="4" t="s">
        <v>60</v>
      </c>
      <c r="C66" s="4" t="s">
        <v>61</v>
      </c>
      <c r="D66" s="5" t="s">
        <v>43</v>
      </c>
      <c r="E66" s="5" t="s">
        <v>14</v>
      </c>
      <c r="F66" s="5" t="s">
        <v>15</v>
      </c>
      <c r="G66" s="6" t="n">
        <f aca="false">MAX(0,ROUND((TIMEVALUE(F66)-TIMEVALUE(E66))*1440,0)-10)</f>
        <v>0</v>
      </c>
      <c r="H66" s="5" t="str">
        <f aca="false">IF(G66=0,"On Time","LATE ARRIVAL - "&amp;G66&amp;" min")</f>
        <v>On Time</v>
      </c>
    </row>
    <row r="67" customFormat="false" ht="15" hidden="false" customHeight="false" outlineLevel="0" collapsed="false">
      <c r="A67" s="4" t="s">
        <v>59</v>
      </c>
      <c r="B67" s="4" t="s">
        <v>60</v>
      </c>
      <c r="C67" s="4" t="s">
        <v>61</v>
      </c>
      <c r="D67" s="5" t="s">
        <v>45</v>
      </c>
      <c r="E67" s="5" t="s">
        <v>14</v>
      </c>
      <c r="F67" s="5" t="s">
        <v>65</v>
      </c>
      <c r="G67" s="6" t="n">
        <f aca="false">MAX(0,ROUND((TIMEVALUE(F67)-TIMEVALUE(E67))*1440,0)-10)</f>
        <v>0</v>
      </c>
      <c r="H67" s="5" t="str">
        <f aca="false">IF(G67=0,"On Time","LATE ARRIVAL - "&amp;G67&amp;" min")</f>
        <v>On Time</v>
      </c>
    </row>
    <row r="68" customFormat="false" ht="15" hidden="false" customHeight="false" outlineLevel="0" collapsed="false">
      <c r="A68" s="4" t="s">
        <v>59</v>
      </c>
      <c r="B68" s="4" t="s">
        <v>60</v>
      </c>
      <c r="C68" s="4" t="s">
        <v>61</v>
      </c>
      <c r="D68" s="5" t="s">
        <v>47</v>
      </c>
      <c r="E68" s="5" t="s">
        <v>14</v>
      </c>
      <c r="F68" s="5" t="s">
        <v>49</v>
      </c>
      <c r="G68" s="6" t="n">
        <f aca="false">MAX(0,ROUND((TIMEVALUE(F68)-TIMEVALUE(E68))*1440,0)-10)</f>
        <v>0</v>
      </c>
      <c r="H68" s="5" t="str">
        <f aca="false">IF(G68=0,"On Time","LATE ARRIVAL - "&amp;G68&amp;" min")</f>
        <v>On Time</v>
      </c>
    </row>
    <row r="69" customFormat="false" ht="15" hidden="false" customHeight="false" outlineLevel="0" collapsed="false">
      <c r="A69" s="4" t="s">
        <v>59</v>
      </c>
      <c r="B69" s="4" t="s">
        <v>60</v>
      </c>
      <c r="C69" s="4" t="s">
        <v>61</v>
      </c>
      <c r="D69" s="5" t="s">
        <v>48</v>
      </c>
      <c r="E69" s="5" t="s">
        <v>14</v>
      </c>
      <c r="F69" s="5" t="s">
        <v>58</v>
      </c>
      <c r="G69" s="6" t="n">
        <f aca="false">MAX(0,ROUND((TIMEVALUE(F69)-TIMEVALUE(E69))*1440,0)-10)</f>
        <v>0</v>
      </c>
      <c r="H69" s="5" t="str">
        <f aca="false">IF(G69=0,"On Time","LATE ARRIVAL - "&amp;G69&amp;" min")</f>
        <v>On Time</v>
      </c>
    </row>
    <row r="70" customFormat="false" ht="15" hidden="false" customHeight="false" outlineLevel="0" collapsed="false">
      <c r="A70" s="4" t="s">
        <v>59</v>
      </c>
      <c r="B70" s="4" t="s">
        <v>60</v>
      </c>
      <c r="C70" s="4" t="s">
        <v>61</v>
      </c>
      <c r="D70" s="5" t="s">
        <v>50</v>
      </c>
      <c r="E70" s="5" t="s">
        <v>14</v>
      </c>
      <c r="F70" s="5" t="s">
        <v>65</v>
      </c>
      <c r="G70" s="6" t="n">
        <f aca="false">MAX(0,ROUND((TIMEVALUE(F70)-TIMEVALUE(E70))*1440,0)-10)</f>
        <v>0</v>
      </c>
      <c r="H70" s="5" t="str">
        <f aca="false">IF(G70=0,"On Time","LATE ARRIVAL - "&amp;G70&amp;" min")</f>
        <v>On Time</v>
      </c>
    </row>
    <row r="71" customFormat="false" ht="15" hidden="false" customHeight="false" outlineLevel="0" collapsed="false">
      <c r="A71" s="4" t="s">
        <v>67</v>
      </c>
      <c r="B71" s="4" t="s">
        <v>68</v>
      </c>
      <c r="C71" s="4" t="s">
        <v>69</v>
      </c>
      <c r="D71" s="5" t="s">
        <v>13</v>
      </c>
      <c r="E71" s="5" t="s">
        <v>14</v>
      </c>
      <c r="F71" s="5" t="s">
        <v>70</v>
      </c>
      <c r="G71" s="6" t="n">
        <f aca="false">MAX(0,ROUND((TIMEVALUE(F71)-TIMEVALUE(E71))*1440,0)-10)</f>
        <v>8</v>
      </c>
      <c r="H71" s="5" t="str">
        <f aca="false">IF(G71=0,"On Time","LATE ARRIVAL - "&amp;G71&amp;" min")</f>
        <v>LATE ARRIVAL - 8 min</v>
      </c>
    </row>
    <row r="72" customFormat="false" ht="15" hidden="false" customHeight="false" outlineLevel="0" collapsed="false">
      <c r="A72" s="4" t="s">
        <v>67</v>
      </c>
      <c r="B72" s="4" t="s">
        <v>68</v>
      </c>
      <c r="C72" s="4" t="s">
        <v>69</v>
      </c>
      <c r="D72" s="5" t="s">
        <v>16</v>
      </c>
      <c r="E72" s="5" t="s">
        <v>14</v>
      </c>
      <c r="F72" s="5" t="s">
        <v>54</v>
      </c>
      <c r="G72" s="6" t="n">
        <f aca="false">MAX(0,ROUND((TIMEVALUE(F72)-TIMEVALUE(E72))*1440,0)-10)</f>
        <v>15</v>
      </c>
      <c r="H72" s="5" t="str">
        <f aca="false">IF(G72=0,"On Time","LATE ARRIVAL - "&amp;G72&amp;" min")</f>
        <v>LATE ARRIVAL - 15 min</v>
      </c>
    </row>
    <row r="73" customFormat="false" ht="15" hidden="false" customHeight="false" outlineLevel="0" collapsed="false">
      <c r="A73" s="4" t="s">
        <v>67</v>
      </c>
      <c r="B73" s="4" t="s">
        <v>68</v>
      </c>
      <c r="C73" s="4" t="s">
        <v>69</v>
      </c>
      <c r="D73" s="5" t="s">
        <v>18</v>
      </c>
      <c r="E73" s="5" t="s">
        <v>14</v>
      </c>
      <c r="F73" s="5" t="s">
        <v>58</v>
      </c>
      <c r="G73" s="6" t="n">
        <f aca="false">MAX(0,ROUND((TIMEVALUE(F73)-TIMEVALUE(E73))*1440,0)-10)</f>
        <v>0</v>
      </c>
      <c r="H73" s="5" t="str">
        <f aca="false">IF(G73=0,"On Time","LATE ARRIVAL - "&amp;G73&amp;" min")</f>
        <v>On Time</v>
      </c>
    </row>
    <row r="74" customFormat="false" ht="15" hidden="false" customHeight="false" outlineLevel="0" collapsed="false">
      <c r="A74" s="4" t="s">
        <v>67</v>
      </c>
      <c r="B74" s="4" t="s">
        <v>68</v>
      </c>
      <c r="C74" s="4" t="s">
        <v>69</v>
      </c>
      <c r="D74" s="5" t="s">
        <v>20</v>
      </c>
      <c r="E74" s="5" t="s">
        <v>14</v>
      </c>
      <c r="F74" s="5" t="s">
        <v>71</v>
      </c>
      <c r="G74" s="6" t="n">
        <f aca="false">MAX(0,ROUND((TIMEVALUE(F74)-TIMEVALUE(E74))*1440,0)-10)</f>
        <v>5</v>
      </c>
      <c r="H74" s="5" t="str">
        <f aca="false">IF(G74=0,"On Time","LATE ARRIVAL - "&amp;G74&amp;" min")</f>
        <v>LATE ARRIVAL - 5 min</v>
      </c>
    </row>
    <row r="75" customFormat="false" ht="15" hidden="false" customHeight="false" outlineLevel="0" collapsed="false">
      <c r="A75" s="4" t="s">
        <v>67</v>
      </c>
      <c r="B75" s="4" t="s">
        <v>68</v>
      </c>
      <c r="C75" s="4" t="s">
        <v>69</v>
      </c>
      <c r="D75" s="5" t="s">
        <v>21</v>
      </c>
      <c r="E75" s="5" t="s">
        <v>14</v>
      </c>
      <c r="F75" s="5" t="s">
        <v>72</v>
      </c>
      <c r="G75" s="6" t="n">
        <f aca="false">MAX(0,ROUND((TIMEVALUE(F75)-TIMEVALUE(E75))*1440,0)-10)</f>
        <v>0</v>
      </c>
      <c r="H75" s="5" t="str">
        <f aca="false">IF(G75=0,"On Time","LATE ARRIVAL - "&amp;G75&amp;" min")</f>
        <v>On Time</v>
      </c>
    </row>
    <row r="76" customFormat="false" ht="15" hidden="false" customHeight="false" outlineLevel="0" collapsed="false">
      <c r="A76" s="4" t="s">
        <v>67</v>
      </c>
      <c r="B76" s="4" t="s">
        <v>68</v>
      </c>
      <c r="C76" s="4" t="s">
        <v>69</v>
      </c>
      <c r="D76" s="5" t="s">
        <v>23</v>
      </c>
      <c r="E76" s="5" t="s">
        <v>14</v>
      </c>
      <c r="F76" s="5" t="s">
        <v>73</v>
      </c>
      <c r="G76" s="6" t="n">
        <f aca="false">MAX(0,ROUND((TIMEVALUE(F76)-TIMEVALUE(E76))*1440,0)-10)</f>
        <v>0</v>
      </c>
      <c r="H76" s="5" t="str">
        <f aca="false">IF(G76=0,"On Time","LATE ARRIVAL - "&amp;G76&amp;" min")</f>
        <v>On Time</v>
      </c>
    </row>
    <row r="77" customFormat="false" ht="15" hidden="false" customHeight="false" outlineLevel="0" collapsed="false">
      <c r="A77" s="4" t="s">
        <v>67</v>
      </c>
      <c r="B77" s="4" t="s">
        <v>68</v>
      </c>
      <c r="C77" s="4" t="s">
        <v>69</v>
      </c>
      <c r="D77" s="5" t="s">
        <v>25</v>
      </c>
      <c r="E77" s="5" t="s">
        <v>14</v>
      </c>
      <c r="F77" s="5" t="s">
        <v>64</v>
      </c>
      <c r="G77" s="6" t="n">
        <f aca="false">MAX(0,ROUND((TIMEVALUE(F77)-TIMEVALUE(E77))*1440,0)-10)</f>
        <v>0</v>
      </c>
      <c r="H77" s="5" t="str">
        <f aca="false">IF(G77=0,"On Time","LATE ARRIVAL - "&amp;G77&amp;" min")</f>
        <v>On Time</v>
      </c>
    </row>
    <row r="78" customFormat="false" ht="15" hidden="false" customHeight="false" outlineLevel="0" collapsed="false">
      <c r="A78" s="4" t="s">
        <v>67</v>
      </c>
      <c r="B78" s="4" t="s">
        <v>68</v>
      </c>
      <c r="C78" s="4" t="s">
        <v>69</v>
      </c>
      <c r="D78" s="5" t="s">
        <v>27</v>
      </c>
      <c r="E78" s="5" t="s">
        <v>14</v>
      </c>
      <c r="F78" s="5" t="s">
        <v>70</v>
      </c>
      <c r="G78" s="6" t="n">
        <f aca="false">MAX(0,ROUND((TIMEVALUE(F78)-TIMEVALUE(E78))*1440,0)-10)</f>
        <v>8</v>
      </c>
      <c r="H78" s="5" t="str">
        <f aca="false">IF(G78=0,"On Time","LATE ARRIVAL - "&amp;G78&amp;" min")</f>
        <v>LATE ARRIVAL - 8 min</v>
      </c>
    </row>
    <row r="79" customFormat="false" ht="15" hidden="false" customHeight="false" outlineLevel="0" collapsed="false">
      <c r="A79" s="4" t="s">
        <v>67</v>
      </c>
      <c r="B79" s="4" t="s">
        <v>68</v>
      </c>
      <c r="C79" s="4" t="s">
        <v>69</v>
      </c>
      <c r="D79" s="5" t="s">
        <v>29</v>
      </c>
      <c r="E79" s="5" t="s">
        <v>14</v>
      </c>
      <c r="F79" s="5" t="s">
        <v>58</v>
      </c>
      <c r="G79" s="6" t="n">
        <f aca="false">MAX(0,ROUND((TIMEVALUE(F79)-TIMEVALUE(E79))*1440,0)-10)</f>
        <v>0</v>
      </c>
      <c r="H79" s="5" t="str">
        <f aca="false">IF(G79=0,"On Time","LATE ARRIVAL - "&amp;G79&amp;" min")</f>
        <v>On Time</v>
      </c>
    </row>
    <row r="80" customFormat="false" ht="15" hidden="false" customHeight="false" outlineLevel="0" collapsed="false">
      <c r="A80" s="4" t="s">
        <v>67</v>
      </c>
      <c r="B80" s="4" t="s">
        <v>68</v>
      </c>
      <c r="C80" s="4" t="s">
        <v>69</v>
      </c>
      <c r="D80" s="5" t="s">
        <v>30</v>
      </c>
      <c r="E80" s="5" t="s">
        <v>14</v>
      </c>
      <c r="F80" s="5" t="s">
        <v>15</v>
      </c>
      <c r="G80" s="6" t="n">
        <f aca="false">MAX(0,ROUND((TIMEVALUE(F80)-TIMEVALUE(E80))*1440,0)-10)</f>
        <v>0</v>
      </c>
      <c r="H80" s="5" t="str">
        <f aca="false">IF(G80=0,"On Time","LATE ARRIVAL - "&amp;G80&amp;" min")</f>
        <v>On Time</v>
      </c>
    </row>
    <row r="81" customFormat="false" ht="15" hidden="false" customHeight="false" outlineLevel="0" collapsed="false">
      <c r="A81" s="4" t="s">
        <v>67</v>
      </c>
      <c r="B81" s="4" t="s">
        <v>68</v>
      </c>
      <c r="C81" s="4" t="s">
        <v>69</v>
      </c>
      <c r="D81" s="5" t="s">
        <v>32</v>
      </c>
      <c r="E81" s="5" t="s">
        <v>14</v>
      </c>
      <c r="F81" s="5" t="s">
        <v>14</v>
      </c>
      <c r="G81" s="6" t="n">
        <f aca="false">MAX(0,ROUND((TIMEVALUE(F81)-TIMEVALUE(E81))*1440,0)-10)</f>
        <v>0</v>
      </c>
      <c r="H81" s="5" t="str">
        <f aca="false">IF(G81=0,"On Time","LATE ARRIVAL - "&amp;G81&amp;" min")</f>
        <v>On Time</v>
      </c>
    </row>
    <row r="82" customFormat="false" ht="15" hidden="false" customHeight="false" outlineLevel="0" collapsed="false">
      <c r="A82" s="4" t="s">
        <v>67</v>
      </c>
      <c r="B82" s="4" t="s">
        <v>68</v>
      </c>
      <c r="C82" s="4" t="s">
        <v>69</v>
      </c>
      <c r="D82" s="5" t="s">
        <v>33</v>
      </c>
      <c r="E82" s="5" t="s">
        <v>14</v>
      </c>
      <c r="F82" s="5" t="s">
        <v>74</v>
      </c>
      <c r="G82" s="6" t="n">
        <f aca="false">MAX(0,ROUND((TIMEVALUE(F82)-TIMEVALUE(E82))*1440,0)-10)</f>
        <v>18</v>
      </c>
      <c r="H82" s="5" t="str">
        <f aca="false">IF(G82=0,"On Time","LATE ARRIVAL - "&amp;G82&amp;" min")</f>
        <v>LATE ARRIVAL - 18 min</v>
      </c>
    </row>
    <row r="83" customFormat="false" ht="15" hidden="false" customHeight="false" outlineLevel="0" collapsed="false">
      <c r="A83" s="4" t="s">
        <v>67</v>
      </c>
      <c r="B83" s="4" t="s">
        <v>68</v>
      </c>
      <c r="C83" s="4" t="s">
        <v>69</v>
      </c>
      <c r="D83" s="5" t="s">
        <v>35</v>
      </c>
      <c r="E83" s="5" t="s">
        <v>14</v>
      </c>
      <c r="F83" s="5" t="s">
        <v>72</v>
      </c>
      <c r="G83" s="6" t="n">
        <f aca="false">MAX(0,ROUND((TIMEVALUE(F83)-TIMEVALUE(E83))*1440,0)-10)</f>
        <v>0</v>
      </c>
      <c r="H83" s="5" t="str">
        <f aca="false">IF(G83=0,"On Time","LATE ARRIVAL - "&amp;G83&amp;" min")</f>
        <v>On Time</v>
      </c>
    </row>
    <row r="84" customFormat="false" ht="15" hidden="false" customHeight="false" outlineLevel="0" collapsed="false">
      <c r="A84" s="4" t="s">
        <v>67</v>
      </c>
      <c r="B84" s="4" t="s">
        <v>68</v>
      </c>
      <c r="C84" s="4" t="s">
        <v>69</v>
      </c>
      <c r="D84" s="5" t="s">
        <v>36</v>
      </c>
      <c r="E84" s="5" t="s">
        <v>14</v>
      </c>
      <c r="F84" s="5" t="s">
        <v>26</v>
      </c>
      <c r="G84" s="6" t="n">
        <f aca="false">MAX(0,ROUND((TIMEVALUE(F84)-TIMEVALUE(E84))*1440,0)-10)</f>
        <v>12</v>
      </c>
      <c r="H84" s="5" t="str">
        <f aca="false">IF(G84=0,"On Time","LATE ARRIVAL - "&amp;G84&amp;" min")</f>
        <v>LATE ARRIVAL - 12 min</v>
      </c>
    </row>
    <row r="85" customFormat="false" ht="15" hidden="false" customHeight="false" outlineLevel="0" collapsed="false">
      <c r="A85" s="4" t="s">
        <v>67</v>
      </c>
      <c r="B85" s="4" t="s">
        <v>68</v>
      </c>
      <c r="C85" s="4" t="s">
        <v>69</v>
      </c>
      <c r="D85" s="5" t="s">
        <v>38</v>
      </c>
      <c r="E85" s="5" t="s">
        <v>14</v>
      </c>
      <c r="F85" s="5" t="s">
        <v>22</v>
      </c>
      <c r="G85" s="6" t="n">
        <f aca="false">MAX(0,ROUND((TIMEVALUE(F85)-TIMEVALUE(E85))*1440,0)-10)</f>
        <v>0</v>
      </c>
      <c r="H85" s="5" t="str">
        <f aca="false">IF(G85=0,"On Time","LATE ARRIVAL - "&amp;G85&amp;" min")</f>
        <v>On Time</v>
      </c>
    </row>
    <row r="86" customFormat="false" ht="15" hidden="false" customHeight="false" outlineLevel="0" collapsed="false">
      <c r="A86" s="4" t="s">
        <v>67</v>
      </c>
      <c r="B86" s="4" t="s">
        <v>68</v>
      </c>
      <c r="C86" s="4" t="s">
        <v>69</v>
      </c>
      <c r="D86" s="5" t="s">
        <v>40</v>
      </c>
      <c r="E86" s="5" t="s">
        <v>14</v>
      </c>
      <c r="F86" s="5" t="s">
        <v>75</v>
      </c>
      <c r="G86" s="6" t="n">
        <f aca="false">MAX(0,ROUND((TIMEVALUE(F86)-TIMEVALUE(E86))*1440,0)-10)</f>
        <v>25</v>
      </c>
      <c r="H86" s="5" t="str">
        <f aca="false">IF(G86=0,"On Time","LATE ARRIVAL - "&amp;G86&amp;" min")</f>
        <v>LATE ARRIVAL - 25 min</v>
      </c>
    </row>
    <row r="87" customFormat="false" ht="15" hidden="false" customHeight="false" outlineLevel="0" collapsed="false">
      <c r="A87" s="4" t="s">
        <v>67</v>
      </c>
      <c r="B87" s="4" t="s">
        <v>68</v>
      </c>
      <c r="C87" s="4" t="s">
        <v>69</v>
      </c>
      <c r="D87" s="5" t="s">
        <v>42</v>
      </c>
      <c r="E87" s="5" t="s">
        <v>14</v>
      </c>
      <c r="F87" s="5" t="s">
        <v>58</v>
      </c>
      <c r="G87" s="6" t="n">
        <f aca="false">MAX(0,ROUND((TIMEVALUE(F87)-TIMEVALUE(E87))*1440,0)-10)</f>
        <v>0</v>
      </c>
      <c r="H87" s="5" t="str">
        <f aca="false">IF(G87=0,"On Time","LATE ARRIVAL - "&amp;G87&amp;" min")</f>
        <v>On Time</v>
      </c>
    </row>
    <row r="88" customFormat="false" ht="15" hidden="false" customHeight="false" outlineLevel="0" collapsed="false">
      <c r="A88" s="4" t="s">
        <v>67</v>
      </c>
      <c r="B88" s="4" t="s">
        <v>68</v>
      </c>
      <c r="C88" s="4" t="s">
        <v>69</v>
      </c>
      <c r="D88" s="5" t="s">
        <v>43</v>
      </c>
      <c r="E88" s="5" t="s">
        <v>14</v>
      </c>
      <c r="F88" s="5" t="s">
        <v>64</v>
      </c>
      <c r="G88" s="6" t="n">
        <f aca="false">MAX(0,ROUND((TIMEVALUE(F88)-TIMEVALUE(E88))*1440,0)-10)</f>
        <v>0</v>
      </c>
      <c r="H88" s="5" t="str">
        <f aca="false">IF(G88=0,"On Time","LATE ARRIVAL - "&amp;G88&amp;" min")</f>
        <v>On Time</v>
      </c>
    </row>
    <row r="89" customFormat="false" ht="15" hidden="false" customHeight="false" outlineLevel="0" collapsed="false">
      <c r="A89" s="4" t="s">
        <v>67</v>
      </c>
      <c r="B89" s="4" t="s">
        <v>68</v>
      </c>
      <c r="C89" s="4" t="s">
        <v>69</v>
      </c>
      <c r="D89" s="5" t="s">
        <v>45</v>
      </c>
      <c r="E89" s="5" t="s">
        <v>14</v>
      </c>
      <c r="F89" s="5" t="s">
        <v>75</v>
      </c>
      <c r="G89" s="6" t="n">
        <f aca="false">MAX(0,ROUND((TIMEVALUE(F89)-TIMEVALUE(E89))*1440,0)-10)</f>
        <v>25</v>
      </c>
      <c r="H89" s="5" t="str">
        <f aca="false">IF(G89=0,"On Time","LATE ARRIVAL - "&amp;G89&amp;" min")</f>
        <v>LATE ARRIVAL - 25 min</v>
      </c>
    </row>
    <row r="90" customFormat="false" ht="15" hidden="false" customHeight="false" outlineLevel="0" collapsed="false">
      <c r="A90" s="4" t="s">
        <v>67</v>
      </c>
      <c r="B90" s="4" t="s">
        <v>68</v>
      </c>
      <c r="C90" s="4" t="s">
        <v>69</v>
      </c>
      <c r="D90" s="5" t="s">
        <v>47</v>
      </c>
      <c r="E90" s="5" t="s">
        <v>14</v>
      </c>
      <c r="F90" s="5" t="s">
        <v>37</v>
      </c>
      <c r="G90" s="6" t="n">
        <f aca="false">MAX(0,ROUND((TIMEVALUE(F90)-TIMEVALUE(E90))*1440,0)-10)</f>
        <v>0</v>
      </c>
      <c r="H90" s="5" t="str">
        <f aca="false">IF(G90=0,"On Time","LATE ARRIVAL - "&amp;G90&amp;" min")</f>
        <v>On Time</v>
      </c>
    </row>
    <row r="91" customFormat="false" ht="15" hidden="false" customHeight="false" outlineLevel="0" collapsed="false">
      <c r="A91" s="4" t="s">
        <v>67</v>
      </c>
      <c r="B91" s="4" t="s">
        <v>68</v>
      </c>
      <c r="C91" s="4" t="s">
        <v>69</v>
      </c>
      <c r="D91" s="5" t="s">
        <v>48</v>
      </c>
      <c r="E91" s="5" t="s">
        <v>14</v>
      </c>
      <c r="F91" s="5" t="s">
        <v>76</v>
      </c>
      <c r="G91" s="6" t="n">
        <f aca="false">MAX(0,ROUND((TIMEVALUE(F91)-TIMEVALUE(E91))*1440,0)-10)</f>
        <v>35</v>
      </c>
      <c r="H91" s="5" t="str">
        <f aca="false">IF(G91=0,"On Time","LATE ARRIVAL - "&amp;G91&amp;" min")</f>
        <v>LATE ARRIVAL - 35 min</v>
      </c>
    </row>
    <row r="92" customFormat="false" ht="15" hidden="false" customHeight="false" outlineLevel="0" collapsed="false">
      <c r="A92" s="4" t="s">
        <v>67</v>
      </c>
      <c r="B92" s="4" t="s">
        <v>68</v>
      </c>
      <c r="C92" s="4" t="s">
        <v>69</v>
      </c>
      <c r="D92" s="5" t="s">
        <v>50</v>
      </c>
      <c r="E92" s="5" t="s">
        <v>14</v>
      </c>
      <c r="F92" s="5" t="s">
        <v>26</v>
      </c>
      <c r="G92" s="6" t="n">
        <f aca="false">MAX(0,ROUND((TIMEVALUE(F92)-TIMEVALUE(E92))*1440,0)-10)</f>
        <v>12</v>
      </c>
      <c r="H92" s="5" t="str">
        <f aca="false">IF(G92=0,"On Time","LATE ARRIVAL - "&amp;G92&amp;" min")</f>
        <v>LATE ARRIVAL - 12 min</v>
      </c>
    </row>
    <row r="93" customFormat="false" ht="15" hidden="false" customHeight="false" outlineLevel="0" collapsed="false">
      <c r="A93" s="4" t="s">
        <v>77</v>
      </c>
      <c r="B93" s="4" t="s">
        <v>78</v>
      </c>
      <c r="C93" s="4" t="s">
        <v>79</v>
      </c>
      <c r="D93" s="5" t="s">
        <v>13</v>
      </c>
      <c r="E93" s="5" t="s">
        <v>14</v>
      </c>
      <c r="F93" s="5" t="s">
        <v>58</v>
      </c>
      <c r="G93" s="6" t="n">
        <f aca="false">MAX(0,ROUND((TIMEVALUE(F93)-TIMEVALUE(E93))*1440,0)-10)</f>
        <v>0</v>
      </c>
      <c r="H93" s="5" t="str">
        <f aca="false">IF(G93=0,"On Time","LATE ARRIVAL - "&amp;G93&amp;" min")</f>
        <v>On Time</v>
      </c>
    </row>
    <row r="94" customFormat="false" ht="15" hidden="false" customHeight="false" outlineLevel="0" collapsed="false">
      <c r="A94" s="4" t="s">
        <v>77</v>
      </c>
      <c r="B94" s="4" t="s">
        <v>78</v>
      </c>
      <c r="C94" s="4" t="s">
        <v>79</v>
      </c>
      <c r="D94" s="5" t="s">
        <v>16</v>
      </c>
      <c r="E94" s="5" t="s">
        <v>14</v>
      </c>
      <c r="F94" s="5" t="s">
        <v>41</v>
      </c>
      <c r="G94" s="6" t="n">
        <f aca="false">MAX(0,ROUND((TIMEVALUE(F94)-TIMEVALUE(E94))*1440,0)-10)</f>
        <v>0</v>
      </c>
      <c r="H94" s="5" t="str">
        <f aca="false">IF(G94=0,"On Time","LATE ARRIVAL - "&amp;G94&amp;" min")</f>
        <v>On Time</v>
      </c>
    </row>
    <row r="95" customFormat="false" ht="15" hidden="false" customHeight="false" outlineLevel="0" collapsed="false">
      <c r="A95" s="4" t="s">
        <v>77</v>
      </c>
      <c r="B95" s="4" t="s">
        <v>78</v>
      </c>
      <c r="C95" s="4" t="s">
        <v>79</v>
      </c>
      <c r="D95" s="5" t="s">
        <v>18</v>
      </c>
      <c r="E95" s="5" t="s">
        <v>14</v>
      </c>
      <c r="F95" s="5" t="s">
        <v>44</v>
      </c>
      <c r="G95" s="6" t="n">
        <f aca="false">MAX(0,ROUND((TIMEVALUE(F95)-TIMEVALUE(E95))*1440,0)-10)</f>
        <v>0</v>
      </c>
      <c r="H95" s="5" t="str">
        <f aca="false">IF(G95=0,"On Time","LATE ARRIVAL - "&amp;G95&amp;" min")</f>
        <v>On Time</v>
      </c>
    </row>
    <row r="96" customFormat="false" ht="15" hidden="false" customHeight="false" outlineLevel="0" collapsed="false">
      <c r="A96" s="4" t="s">
        <v>77</v>
      </c>
      <c r="B96" s="4" t="s">
        <v>78</v>
      </c>
      <c r="C96" s="4" t="s">
        <v>79</v>
      </c>
      <c r="D96" s="5" t="s">
        <v>20</v>
      </c>
      <c r="E96" s="5" t="s">
        <v>14</v>
      </c>
      <c r="F96" s="5" t="s">
        <v>56</v>
      </c>
      <c r="G96" s="6" t="n">
        <f aca="false">MAX(0,ROUND((TIMEVALUE(F96)-TIMEVALUE(E96))*1440,0)-10)</f>
        <v>0</v>
      </c>
      <c r="H96" s="5" t="str">
        <f aca="false">IF(G96=0,"On Time","LATE ARRIVAL - "&amp;G96&amp;" min")</f>
        <v>On Time</v>
      </c>
    </row>
    <row r="97" customFormat="false" ht="15" hidden="false" customHeight="false" outlineLevel="0" collapsed="false">
      <c r="A97" s="4" t="s">
        <v>77</v>
      </c>
      <c r="B97" s="4" t="s">
        <v>78</v>
      </c>
      <c r="C97" s="4" t="s">
        <v>79</v>
      </c>
      <c r="D97" s="5" t="s">
        <v>21</v>
      </c>
      <c r="E97" s="5" t="s">
        <v>14</v>
      </c>
      <c r="F97" s="5" t="s">
        <v>73</v>
      </c>
      <c r="G97" s="6" t="n">
        <f aca="false">MAX(0,ROUND((TIMEVALUE(F97)-TIMEVALUE(E97))*1440,0)-10)</f>
        <v>0</v>
      </c>
      <c r="H97" s="5" t="str">
        <f aca="false">IF(G97=0,"On Time","LATE ARRIVAL - "&amp;G97&amp;" min")</f>
        <v>On Time</v>
      </c>
    </row>
    <row r="98" customFormat="false" ht="15" hidden="false" customHeight="false" outlineLevel="0" collapsed="false">
      <c r="A98" s="4" t="s">
        <v>77</v>
      </c>
      <c r="B98" s="4" t="s">
        <v>78</v>
      </c>
      <c r="C98" s="4" t="s">
        <v>79</v>
      </c>
      <c r="D98" s="5" t="s">
        <v>23</v>
      </c>
      <c r="E98" s="5" t="s">
        <v>14</v>
      </c>
      <c r="F98" s="5" t="s">
        <v>17</v>
      </c>
      <c r="G98" s="6" t="n">
        <f aca="false">MAX(0,ROUND((TIMEVALUE(F98)-TIMEVALUE(E98))*1440,0)-10)</f>
        <v>0</v>
      </c>
      <c r="H98" s="5" t="str">
        <f aca="false">IF(G98=0,"On Time","LATE ARRIVAL - "&amp;G98&amp;" min")</f>
        <v>On Time</v>
      </c>
    </row>
    <row r="99" customFormat="false" ht="15" hidden="false" customHeight="false" outlineLevel="0" collapsed="false">
      <c r="A99" s="4" t="s">
        <v>77</v>
      </c>
      <c r="B99" s="4" t="s">
        <v>78</v>
      </c>
      <c r="C99" s="4" t="s">
        <v>79</v>
      </c>
      <c r="D99" s="5" t="s">
        <v>25</v>
      </c>
      <c r="E99" s="5" t="s">
        <v>14</v>
      </c>
      <c r="F99" s="5" t="s">
        <v>39</v>
      </c>
      <c r="G99" s="6" t="n">
        <f aca="false">MAX(0,ROUND((TIMEVALUE(F99)-TIMEVALUE(E99))*1440,0)-10)</f>
        <v>0</v>
      </c>
      <c r="H99" s="5" t="str">
        <f aca="false">IF(G99=0,"On Time","LATE ARRIVAL - "&amp;G99&amp;" min")</f>
        <v>On Time</v>
      </c>
    </row>
    <row r="100" customFormat="false" ht="15" hidden="false" customHeight="false" outlineLevel="0" collapsed="false">
      <c r="A100" s="4" t="s">
        <v>77</v>
      </c>
      <c r="B100" s="4" t="s">
        <v>78</v>
      </c>
      <c r="C100" s="4" t="s">
        <v>79</v>
      </c>
      <c r="D100" s="5" t="s">
        <v>27</v>
      </c>
      <c r="E100" s="5" t="s">
        <v>14</v>
      </c>
      <c r="F100" s="5" t="s">
        <v>80</v>
      </c>
      <c r="G100" s="6" t="n">
        <f aca="false">MAX(0,ROUND((TIMEVALUE(F100)-TIMEVALUE(E100))*1440,0)-10)</f>
        <v>30</v>
      </c>
      <c r="H100" s="5" t="str">
        <f aca="false">IF(G100=0,"On Time","LATE ARRIVAL - "&amp;G100&amp;" min")</f>
        <v>LATE ARRIVAL - 30 min</v>
      </c>
    </row>
    <row r="101" customFormat="false" ht="15" hidden="false" customHeight="false" outlineLevel="0" collapsed="false">
      <c r="A101" s="4" t="s">
        <v>77</v>
      </c>
      <c r="B101" s="4" t="s">
        <v>78</v>
      </c>
      <c r="C101" s="4" t="s">
        <v>79</v>
      </c>
      <c r="D101" s="5" t="s">
        <v>29</v>
      </c>
      <c r="E101" s="5" t="s">
        <v>14</v>
      </c>
      <c r="F101" s="5" t="s">
        <v>17</v>
      </c>
      <c r="G101" s="6" t="n">
        <f aca="false">MAX(0,ROUND((TIMEVALUE(F101)-TIMEVALUE(E101))*1440,0)-10)</f>
        <v>0</v>
      </c>
      <c r="H101" s="5" t="str">
        <f aca="false">IF(G101=0,"On Time","LATE ARRIVAL - "&amp;G101&amp;" min")</f>
        <v>On Time</v>
      </c>
    </row>
    <row r="102" customFormat="false" ht="15" hidden="false" customHeight="false" outlineLevel="0" collapsed="false">
      <c r="A102" s="4" t="s">
        <v>77</v>
      </c>
      <c r="B102" s="4" t="s">
        <v>78</v>
      </c>
      <c r="C102" s="4" t="s">
        <v>79</v>
      </c>
      <c r="D102" s="5" t="s">
        <v>30</v>
      </c>
      <c r="E102" s="5" t="s">
        <v>14</v>
      </c>
      <c r="F102" s="5" t="s">
        <v>55</v>
      </c>
      <c r="G102" s="6" t="n">
        <f aca="false">MAX(0,ROUND((TIMEVALUE(F102)-TIMEVALUE(E102))*1440,0)-10)</f>
        <v>40</v>
      </c>
      <c r="H102" s="5" t="str">
        <f aca="false">IF(G102=0,"On Time","LATE ARRIVAL - "&amp;G102&amp;" min")</f>
        <v>LATE ARRIVAL - 40 min</v>
      </c>
    </row>
    <row r="103" customFormat="false" ht="15" hidden="false" customHeight="false" outlineLevel="0" collapsed="false">
      <c r="A103" s="4" t="s">
        <v>77</v>
      </c>
      <c r="B103" s="4" t="s">
        <v>78</v>
      </c>
      <c r="C103" s="4" t="s">
        <v>79</v>
      </c>
      <c r="D103" s="5" t="s">
        <v>32</v>
      </c>
      <c r="E103" s="5" t="s">
        <v>14</v>
      </c>
      <c r="F103" s="5" t="s">
        <v>71</v>
      </c>
      <c r="G103" s="6" t="n">
        <f aca="false">MAX(0,ROUND((TIMEVALUE(F103)-TIMEVALUE(E103))*1440,0)-10)</f>
        <v>5</v>
      </c>
      <c r="H103" s="5" t="str">
        <f aca="false">IF(G103=0,"On Time","LATE ARRIVAL - "&amp;G103&amp;" min")</f>
        <v>LATE ARRIVAL - 5 min</v>
      </c>
    </row>
    <row r="104" customFormat="false" ht="15" hidden="false" customHeight="false" outlineLevel="0" collapsed="false">
      <c r="A104" s="4" t="s">
        <v>77</v>
      </c>
      <c r="B104" s="4" t="s">
        <v>78</v>
      </c>
      <c r="C104" s="4" t="s">
        <v>79</v>
      </c>
      <c r="D104" s="5" t="s">
        <v>33</v>
      </c>
      <c r="E104" s="5" t="s">
        <v>14</v>
      </c>
      <c r="F104" s="5" t="s">
        <v>39</v>
      </c>
      <c r="G104" s="6" t="n">
        <f aca="false">MAX(0,ROUND((TIMEVALUE(F104)-TIMEVALUE(E104))*1440,0)-10)</f>
        <v>0</v>
      </c>
      <c r="H104" s="5" t="str">
        <f aca="false">IF(G104=0,"On Time","LATE ARRIVAL - "&amp;G104&amp;" min")</f>
        <v>On Time</v>
      </c>
    </row>
    <row r="105" customFormat="false" ht="15" hidden="false" customHeight="false" outlineLevel="0" collapsed="false">
      <c r="A105" s="4" t="s">
        <v>77</v>
      </c>
      <c r="B105" s="4" t="s">
        <v>78</v>
      </c>
      <c r="C105" s="4" t="s">
        <v>79</v>
      </c>
      <c r="D105" s="5" t="s">
        <v>35</v>
      </c>
      <c r="E105" s="5" t="s">
        <v>14</v>
      </c>
      <c r="F105" s="5" t="s">
        <v>26</v>
      </c>
      <c r="G105" s="6" t="n">
        <f aca="false">MAX(0,ROUND((TIMEVALUE(F105)-TIMEVALUE(E105))*1440,0)-10)</f>
        <v>12</v>
      </c>
      <c r="H105" s="5" t="str">
        <f aca="false">IF(G105=0,"On Time","LATE ARRIVAL - "&amp;G105&amp;" min")</f>
        <v>LATE ARRIVAL - 12 min</v>
      </c>
    </row>
    <row r="106" customFormat="false" ht="15" hidden="false" customHeight="false" outlineLevel="0" collapsed="false">
      <c r="A106" s="4" t="s">
        <v>77</v>
      </c>
      <c r="B106" s="4" t="s">
        <v>78</v>
      </c>
      <c r="C106" s="4" t="s">
        <v>79</v>
      </c>
      <c r="D106" s="5" t="s">
        <v>36</v>
      </c>
      <c r="E106" s="5" t="s">
        <v>14</v>
      </c>
      <c r="F106" s="5" t="s">
        <v>14</v>
      </c>
      <c r="G106" s="6" t="n">
        <f aca="false">MAX(0,ROUND((TIMEVALUE(F106)-TIMEVALUE(E106))*1440,0)-10)</f>
        <v>0</v>
      </c>
      <c r="H106" s="5" t="str">
        <f aca="false">IF(G106=0,"On Time","LATE ARRIVAL - "&amp;G106&amp;" min")</f>
        <v>On Time</v>
      </c>
    </row>
    <row r="107" customFormat="false" ht="15" hidden="false" customHeight="false" outlineLevel="0" collapsed="false">
      <c r="A107" s="4" t="s">
        <v>77</v>
      </c>
      <c r="B107" s="4" t="s">
        <v>78</v>
      </c>
      <c r="C107" s="4" t="s">
        <v>79</v>
      </c>
      <c r="D107" s="5" t="s">
        <v>38</v>
      </c>
      <c r="E107" s="5" t="s">
        <v>14</v>
      </c>
      <c r="F107" s="5" t="s">
        <v>64</v>
      </c>
      <c r="G107" s="6" t="n">
        <f aca="false">MAX(0,ROUND((TIMEVALUE(F107)-TIMEVALUE(E107))*1440,0)-10)</f>
        <v>0</v>
      </c>
      <c r="H107" s="5" t="str">
        <f aca="false">IF(G107=0,"On Time","LATE ARRIVAL - "&amp;G107&amp;" min")</f>
        <v>On Time</v>
      </c>
    </row>
    <row r="108" customFormat="false" ht="15" hidden="false" customHeight="false" outlineLevel="0" collapsed="false">
      <c r="A108" s="4" t="s">
        <v>77</v>
      </c>
      <c r="B108" s="4" t="s">
        <v>78</v>
      </c>
      <c r="C108" s="4" t="s">
        <v>79</v>
      </c>
      <c r="D108" s="5" t="s">
        <v>40</v>
      </c>
      <c r="E108" s="5" t="s">
        <v>14</v>
      </c>
      <c r="F108" s="5" t="s">
        <v>62</v>
      </c>
      <c r="G108" s="6" t="n">
        <f aca="false">MAX(0,ROUND((TIMEVALUE(F108)-TIMEVALUE(E108))*1440,0)-10)</f>
        <v>0</v>
      </c>
      <c r="H108" s="5" t="str">
        <f aca="false">IF(G108=0,"On Time","LATE ARRIVAL - "&amp;G108&amp;" min")</f>
        <v>On Time</v>
      </c>
    </row>
    <row r="109" customFormat="false" ht="15" hidden="false" customHeight="false" outlineLevel="0" collapsed="false">
      <c r="A109" s="4" t="s">
        <v>77</v>
      </c>
      <c r="B109" s="4" t="s">
        <v>78</v>
      </c>
      <c r="C109" s="4" t="s">
        <v>79</v>
      </c>
      <c r="D109" s="5" t="s">
        <v>42</v>
      </c>
      <c r="E109" s="5" t="s">
        <v>14</v>
      </c>
      <c r="F109" s="5" t="s">
        <v>17</v>
      </c>
      <c r="G109" s="6" t="n">
        <f aca="false">MAX(0,ROUND((TIMEVALUE(F109)-TIMEVALUE(E109))*1440,0)-10)</f>
        <v>0</v>
      </c>
      <c r="H109" s="5" t="str">
        <f aca="false">IF(G109=0,"On Time","LATE ARRIVAL - "&amp;G109&amp;" min")</f>
        <v>On Time</v>
      </c>
    </row>
    <row r="110" customFormat="false" ht="15" hidden="false" customHeight="false" outlineLevel="0" collapsed="false">
      <c r="A110" s="4" t="s">
        <v>77</v>
      </c>
      <c r="B110" s="4" t="s">
        <v>78</v>
      </c>
      <c r="C110" s="4" t="s">
        <v>79</v>
      </c>
      <c r="D110" s="5" t="s">
        <v>43</v>
      </c>
      <c r="E110" s="5" t="s">
        <v>14</v>
      </c>
      <c r="F110" s="5" t="s">
        <v>63</v>
      </c>
      <c r="G110" s="6" t="n">
        <f aca="false">MAX(0,ROUND((TIMEVALUE(F110)-TIMEVALUE(E110))*1440,0)-10)</f>
        <v>0</v>
      </c>
      <c r="H110" s="5" t="str">
        <f aca="false">IF(G110=0,"On Time","LATE ARRIVAL - "&amp;G110&amp;" min")</f>
        <v>On Time</v>
      </c>
    </row>
    <row r="111" customFormat="false" ht="15" hidden="false" customHeight="false" outlineLevel="0" collapsed="false">
      <c r="A111" s="4" t="s">
        <v>77</v>
      </c>
      <c r="B111" s="4" t="s">
        <v>78</v>
      </c>
      <c r="C111" s="4" t="s">
        <v>79</v>
      </c>
      <c r="D111" s="5" t="s">
        <v>45</v>
      </c>
      <c r="E111" s="5" t="s">
        <v>14</v>
      </c>
      <c r="F111" s="5" t="s">
        <v>65</v>
      </c>
      <c r="G111" s="6" t="n">
        <f aca="false">MAX(0,ROUND((TIMEVALUE(F111)-TIMEVALUE(E111))*1440,0)-10)</f>
        <v>0</v>
      </c>
      <c r="H111" s="5" t="str">
        <f aca="false">IF(G111=0,"On Time","LATE ARRIVAL - "&amp;G111&amp;" min")</f>
        <v>On Time</v>
      </c>
    </row>
    <row r="112" customFormat="false" ht="15" hidden="false" customHeight="false" outlineLevel="0" collapsed="false">
      <c r="A112" s="4" t="s">
        <v>77</v>
      </c>
      <c r="B112" s="4" t="s">
        <v>78</v>
      </c>
      <c r="C112" s="4" t="s">
        <v>79</v>
      </c>
      <c r="D112" s="5" t="s">
        <v>47</v>
      </c>
      <c r="E112" s="5" t="s">
        <v>14</v>
      </c>
      <c r="F112" s="5" t="s">
        <v>46</v>
      </c>
      <c r="G112" s="6" t="n">
        <f aca="false">MAX(0,ROUND((TIMEVALUE(F112)-TIMEVALUE(E112))*1440,0)-10)</f>
        <v>0</v>
      </c>
      <c r="H112" s="5" t="str">
        <f aca="false">IF(G112=0,"On Time","LATE ARRIVAL - "&amp;G112&amp;" min")</f>
        <v>On Time</v>
      </c>
    </row>
    <row r="113" customFormat="false" ht="15" hidden="false" customHeight="false" outlineLevel="0" collapsed="false">
      <c r="A113" s="4" t="s">
        <v>77</v>
      </c>
      <c r="B113" s="4" t="s">
        <v>78</v>
      </c>
      <c r="C113" s="4" t="s">
        <v>79</v>
      </c>
      <c r="D113" s="5" t="s">
        <v>48</v>
      </c>
      <c r="E113" s="5" t="s">
        <v>14</v>
      </c>
      <c r="F113" s="5" t="s">
        <v>66</v>
      </c>
      <c r="G113" s="6" t="n">
        <f aca="false">MAX(0,ROUND((TIMEVALUE(F113)-TIMEVALUE(E113))*1440,0)-10)</f>
        <v>0</v>
      </c>
      <c r="H113" s="5" t="str">
        <f aca="false">IF(G113=0,"On Time","LATE ARRIVAL - "&amp;G113&amp;" min")</f>
        <v>On Time</v>
      </c>
    </row>
    <row r="114" customFormat="false" ht="15" hidden="false" customHeight="false" outlineLevel="0" collapsed="false">
      <c r="A114" s="4" t="s">
        <v>77</v>
      </c>
      <c r="B114" s="4" t="s">
        <v>78</v>
      </c>
      <c r="C114" s="4" t="s">
        <v>79</v>
      </c>
      <c r="D114" s="5" t="s">
        <v>50</v>
      </c>
      <c r="E114" s="5" t="s">
        <v>14</v>
      </c>
      <c r="F114" s="5" t="s">
        <v>24</v>
      </c>
      <c r="G114" s="6" t="n">
        <f aca="false">MAX(0,ROUND((TIMEVALUE(F114)-TIMEVALUE(E114))*1440,0)-10)</f>
        <v>0</v>
      </c>
      <c r="H114" s="5" t="str">
        <f aca="false">IF(G114=0,"On Time","LATE ARRIVAL - "&amp;G114&amp;" min")</f>
        <v>On Time</v>
      </c>
    </row>
    <row r="115" customFormat="false" ht="15" hidden="false" customHeight="false" outlineLevel="0" collapsed="false">
      <c r="A115" s="4" t="s">
        <v>81</v>
      </c>
      <c r="B115" s="4" t="s">
        <v>82</v>
      </c>
      <c r="C115" s="4" t="s">
        <v>12</v>
      </c>
      <c r="D115" s="5" t="s">
        <v>13</v>
      </c>
      <c r="E115" s="5" t="s">
        <v>14</v>
      </c>
      <c r="F115" s="5" t="s">
        <v>56</v>
      </c>
      <c r="G115" s="6" t="n">
        <f aca="false">MAX(0,ROUND((TIMEVALUE(F115)-TIMEVALUE(E115))*1440,0)-10)</f>
        <v>0</v>
      </c>
      <c r="H115" s="5" t="str">
        <f aca="false">IF(G115=0,"On Time","LATE ARRIVAL - "&amp;G115&amp;" min")</f>
        <v>On Time</v>
      </c>
    </row>
    <row r="116" customFormat="false" ht="15" hidden="false" customHeight="false" outlineLevel="0" collapsed="false">
      <c r="A116" s="4" t="s">
        <v>81</v>
      </c>
      <c r="B116" s="4" t="s">
        <v>82</v>
      </c>
      <c r="C116" s="4" t="s">
        <v>12</v>
      </c>
      <c r="D116" s="5" t="s">
        <v>16</v>
      </c>
      <c r="E116" s="5" t="s">
        <v>14</v>
      </c>
      <c r="F116" s="5" t="s">
        <v>44</v>
      </c>
      <c r="G116" s="6" t="n">
        <f aca="false">MAX(0,ROUND((TIMEVALUE(F116)-TIMEVALUE(E116))*1440,0)-10)</f>
        <v>0</v>
      </c>
      <c r="H116" s="5" t="str">
        <f aca="false">IF(G116=0,"On Time","LATE ARRIVAL - "&amp;G116&amp;" min")</f>
        <v>On Time</v>
      </c>
    </row>
    <row r="117" customFormat="false" ht="15" hidden="false" customHeight="false" outlineLevel="0" collapsed="false">
      <c r="A117" s="4" t="s">
        <v>81</v>
      </c>
      <c r="B117" s="4" t="s">
        <v>82</v>
      </c>
      <c r="C117" s="4" t="s">
        <v>12</v>
      </c>
      <c r="D117" s="5" t="s">
        <v>18</v>
      </c>
      <c r="E117" s="5" t="s">
        <v>14</v>
      </c>
      <c r="F117" s="5" t="s">
        <v>65</v>
      </c>
      <c r="G117" s="6" t="n">
        <f aca="false">MAX(0,ROUND((TIMEVALUE(F117)-TIMEVALUE(E117))*1440,0)-10)</f>
        <v>0</v>
      </c>
      <c r="H117" s="5" t="str">
        <f aca="false">IF(G117=0,"On Time","LATE ARRIVAL - "&amp;G117&amp;" min")</f>
        <v>On Time</v>
      </c>
    </row>
    <row r="118" customFormat="false" ht="15" hidden="false" customHeight="false" outlineLevel="0" collapsed="false">
      <c r="A118" s="4" t="s">
        <v>81</v>
      </c>
      <c r="B118" s="4" t="s">
        <v>82</v>
      </c>
      <c r="C118" s="4" t="s">
        <v>12</v>
      </c>
      <c r="D118" s="5" t="s">
        <v>20</v>
      </c>
      <c r="E118" s="5" t="s">
        <v>14</v>
      </c>
      <c r="F118" s="5" t="s">
        <v>41</v>
      </c>
      <c r="G118" s="6" t="n">
        <f aca="false">MAX(0,ROUND((TIMEVALUE(F118)-TIMEVALUE(E118))*1440,0)-10)</f>
        <v>0</v>
      </c>
      <c r="H118" s="5" t="str">
        <f aca="false">IF(G118=0,"On Time","LATE ARRIVAL - "&amp;G118&amp;" min")</f>
        <v>On Time</v>
      </c>
    </row>
    <row r="119" customFormat="false" ht="15" hidden="false" customHeight="false" outlineLevel="0" collapsed="false">
      <c r="A119" s="4" t="s">
        <v>81</v>
      </c>
      <c r="B119" s="4" t="s">
        <v>82</v>
      </c>
      <c r="C119" s="4" t="s">
        <v>12</v>
      </c>
      <c r="D119" s="5" t="s">
        <v>21</v>
      </c>
      <c r="E119" s="5" t="s">
        <v>14</v>
      </c>
      <c r="F119" s="5" t="s">
        <v>64</v>
      </c>
      <c r="G119" s="6" t="n">
        <f aca="false">MAX(0,ROUND((TIMEVALUE(F119)-TIMEVALUE(E119))*1440,0)-10)</f>
        <v>0</v>
      </c>
      <c r="H119" s="5" t="str">
        <f aca="false">IF(G119=0,"On Time","LATE ARRIVAL - "&amp;G119&amp;" min")</f>
        <v>On Time</v>
      </c>
    </row>
    <row r="120" customFormat="false" ht="15" hidden="false" customHeight="false" outlineLevel="0" collapsed="false">
      <c r="A120" s="4" t="s">
        <v>81</v>
      </c>
      <c r="B120" s="4" t="s">
        <v>82</v>
      </c>
      <c r="C120" s="4" t="s">
        <v>12</v>
      </c>
      <c r="D120" s="5" t="s">
        <v>23</v>
      </c>
      <c r="E120" s="5" t="s">
        <v>14</v>
      </c>
      <c r="F120" s="5" t="s">
        <v>34</v>
      </c>
      <c r="G120" s="6" t="n">
        <f aca="false">MAX(0,ROUND((TIMEVALUE(F120)-TIMEVALUE(E120))*1440,0)-10)</f>
        <v>0</v>
      </c>
      <c r="H120" s="5" t="str">
        <f aca="false">IF(G120=0,"On Time","LATE ARRIVAL - "&amp;G120&amp;" min")</f>
        <v>On Time</v>
      </c>
    </row>
    <row r="121" customFormat="false" ht="15" hidden="false" customHeight="false" outlineLevel="0" collapsed="false">
      <c r="A121" s="4" t="s">
        <v>81</v>
      </c>
      <c r="B121" s="4" t="s">
        <v>82</v>
      </c>
      <c r="C121" s="4" t="s">
        <v>12</v>
      </c>
      <c r="D121" s="5" t="s">
        <v>25</v>
      </c>
      <c r="E121" s="5" t="s">
        <v>14</v>
      </c>
      <c r="F121" s="5" t="s">
        <v>22</v>
      </c>
      <c r="G121" s="6" t="n">
        <f aca="false">MAX(0,ROUND((TIMEVALUE(F121)-TIMEVALUE(E121))*1440,0)-10)</f>
        <v>0</v>
      </c>
      <c r="H121" s="5" t="str">
        <f aca="false">IF(G121=0,"On Time","LATE ARRIVAL - "&amp;G121&amp;" min")</f>
        <v>On Time</v>
      </c>
    </row>
    <row r="122" customFormat="false" ht="15" hidden="false" customHeight="false" outlineLevel="0" collapsed="false">
      <c r="A122" s="4" t="s">
        <v>81</v>
      </c>
      <c r="B122" s="4" t="s">
        <v>82</v>
      </c>
      <c r="C122" s="4" t="s">
        <v>12</v>
      </c>
      <c r="D122" s="5" t="s">
        <v>27</v>
      </c>
      <c r="E122" s="5" t="s">
        <v>14</v>
      </c>
      <c r="F122" s="5" t="s">
        <v>49</v>
      </c>
      <c r="G122" s="6" t="n">
        <f aca="false">MAX(0,ROUND((TIMEVALUE(F122)-TIMEVALUE(E122))*1440,0)-10)</f>
        <v>0</v>
      </c>
      <c r="H122" s="5" t="str">
        <f aca="false">IF(G122=0,"On Time","LATE ARRIVAL - "&amp;G122&amp;" min")</f>
        <v>On Time</v>
      </c>
    </row>
    <row r="123" customFormat="false" ht="15" hidden="false" customHeight="false" outlineLevel="0" collapsed="false">
      <c r="A123" s="4" t="s">
        <v>81</v>
      </c>
      <c r="B123" s="4" t="s">
        <v>82</v>
      </c>
      <c r="C123" s="4" t="s">
        <v>12</v>
      </c>
      <c r="D123" s="5" t="s">
        <v>29</v>
      </c>
      <c r="E123" s="5" t="s">
        <v>14</v>
      </c>
      <c r="F123" s="5" t="s">
        <v>56</v>
      </c>
      <c r="G123" s="6" t="n">
        <f aca="false">MAX(0,ROUND((TIMEVALUE(F123)-TIMEVALUE(E123))*1440,0)-10)</f>
        <v>0</v>
      </c>
      <c r="H123" s="5" t="str">
        <f aca="false">IF(G123=0,"On Time","LATE ARRIVAL - "&amp;G123&amp;" min")</f>
        <v>On Time</v>
      </c>
    </row>
    <row r="124" customFormat="false" ht="15" hidden="false" customHeight="false" outlineLevel="0" collapsed="false">
      <c r="A124" s="4" t="s">
        <v>81</v>
      </c>
      <c r="B124" s="4" t="s">
        <v>82</v>
      </c>
      <c r="C124" s="4" t="s">
        <v>12</v>
      </c>
      <c r="D124" s="5" t="s">
        <v>30</v>
      </c>
      <c r="E124" s="5" t="s">
        <v>14</v>
      </c>
      <c r="F124" s="5" t="s">
        <v>15</v>
      </c>
      <c r="G124" s="6" t="n">
        <f aca="false">MAX(0,ROUND((TIMEVALUE(F124)-TIMEVALUE(E124))*1440,0)-10)</f>
        <v>0</v>
      </c>
      <c r="H124" s="5" t="str">
        <f aca="false">IF(G124=0,"On Time","LATE ARRIVAL - "&amp;G124&amp;" min")</f>
        <v>On Time</v>
      </c>
    </row>
    <row r="125" customFormat="false" ht="15" hidden="false" customHeight="false" outlineLevel="0" collapsed="false">
      <c r="A125" s="4" t="s">
        <v>81</v>
      </c>
      <c r="B125" s="4" t="s">
        <v>82</v>
      </c>
      <c r="C125" s="4" t="s">
        <v>12</v>
      </c>
      <c r="D125" s="5" t="s">
        <v>32</v>
      </c>
      <c r="E125" s="5" t="s">
        <v>14</v>
      </c>
      <c r="F125" s="5" t="s">
        <v>58</v>
      </c>
      <c r="G125" s="6" t="n">
        <f aca="false">MAX(0,ROUND((TIMEVALUE(F125)-TIMEVALUE(E125))*1440,0)-10)</f>
        <v>0</v>
      </c>
      <c r="H125" s="5" t="str">
        <f aca="false">IF(G125=0,"On Time","LATE ARRIVAL - "&amp;G125&amp;" min")</f>
        <v>On Time</v>
      </c>
    </row>
    <row r="126" customFormat="false" ht="15" hidden="false" customHeight="false" outlineLevel="0" collapsed="false">
      <c r="A126" s="4" t="s">
        <v>81</v>
      </c>
      <c r="B126" s="4" t="s">
        <v>82</v>
      </c>
      <c r="C126" s="4" t="s">
        <v>12</v>
      </c>
      <c r="D126" s="5" t="s">
        <v>33</v>
      </c>
      <c r="E126" s="5" t="s">
        <v>14</v>
      </c>
      <c r="F126" s="5" t="s">
        <v>37</v>
      </c>
      <c r="G126" s="6" t="n">
        <f aca="false">MAX(0,ROUND((TIMEVALUE(F126)-TIMEVALUE(E126))*1440,0)-10)</f>
        <v>0</v>
      </c>
      <c r="H126" s="5" t="str">
        <f aca="false">IF(G126=0,"On Time","LATE ARRIVAL - "&amp;G126&amp;" min")</f>
        <v>On Time</v>
      </c>
    </row>
    <row r="127" customFormat="false" ht="15" hidden="false" customHeight="false" outlineLevel="0" collapsed="false">
      <c r="A127" s="4" t="s">
        <v>81</v>
      </c>
      <c r="B127" s="4" t="s">
        <v>82</v>
      </c>
      <c r="C127" s="4" t="s">
        <v>12</v>
      </c>
      <c r="D127" s="5" t="s">
        <v>35</v>
      </c>
      <c r="E127" s="5" t="s">
        <v>14</v>
      </c>
      <c r="F127" s="5" t="s">
        <v>14</v>
      </c>
      <c r="G127" s="6" t="n">
        <f aca="false">MAX(0,ROUND((TIMEVALUE(F127)-TIMEVALUE(E127))*1440,0)-10)</f>
        <v>0</v>
      </c>
      <c r="H127" s="5" t="str">
        <f aca="false">IF(G127=0,"On Time","LATE ARRIVAL - "&amp;G127&amp;" min")</f>
        <v>On Time</v>
      </c>
    </row>
    <row r="128" customFormat="false" ht="15" hidden="false" customHeight="false" outlineLevel="0" collapsed="false">
      <c r="A128" s="4" t="s">
        <v>81</v>
      </c>
      <c r="B128" s="4" t="s">
        <v>82</v>
      </c>
      <c r="C128" s="4" t="s">
        <v>12</v>
      </c>
      <c r="D128" s="5" t="s">
        <v>36</v>
      </c>
      <c r="E128" s="5" t="s">
        <v>14</v>
      </c>
      <c r="F128" s="5" t="s">
        <v>44</v>
      </c>
      <c r="G128" s="6" t="n">
        <f aca="false">MAX(0,ROUND((TIMEVALUE(F128)-TIMEVALUE(E128))*1440,0)-10)</f>
        <v>0</v>
      </c>
      <c r="H128" s="5" t="str">
        <f aca="false">IF(G128=0,"On Time","LATE ARRIVAL - "&amp;G128&amp;" min")</f>
        <v>On Time</v>
      </c>
    </row>
    <row r="129" customFormat="false" ht="15" hidden="false" customHeight="false" outlineLevel="0" collapsed="false">
      <c r="A129" s="4" t="s">
        <v>81</v>
      </c>
      <c r="B129" s="4" t="s">
        <v>82</v>
      </c>
      <c r="C129" s="4" t="s">
        <v>12</v>
      </c>
      <c r="D129" s="5" t="s">
        <v>38</v>
      </c>
      <c r="E129" s="5" t="s">
        <v>14</v>
      </c>
      <c r="F129" s="5" t="s">
        <v>37</v>
      </c>
      <c r="G129" s="6" t="n">
        <f aca="false">MAX(0,ROUND((TIMEVALUE(F129)-TIMEVALUE(E129))*1440,0)-10)</f>
        <v>0</v>
      </c>
      <c r="H129" s="5" t="str">
        <f aca="false">IF(G129=0,"On Time","LATE ARRIVAL - "&amp;G129&amp;" min")</f>
        <v>On Time</v>
      </c>
    </row>
    <row r="130" customFormat="false" ht="15" hidden="false" customHeight="false" outlineLevel="0" collapsed="false">
      <c r="A130" s="4" t="s">
        <v>81</v>
      </c>
      <c r="B130" s="4" t="s">
        <v>82</v>
      </c>
      <c r="C130" s="4" t="s">
        <v>12</v>
      </c>
      <c r="D130" s="5" t="s">
        <v>40</v>
      </c>
      <c r="E130" s="5" t="s">
        <v>14</v>
      </c>
      <c r="F130" s="5" t="s">
        <v>44</v>
      </c>
      <c r="G130" s="6" t="n">
        <f aca="false">MAX(0,ROUND((TIMEVALUE(F130)-TIMEVALUE(E130))*1440,0)-10)</f>
        <v>0</v>
      </c>
      <c r="H130" s="5" t="str">
        <f aca="false">IF(G130=0,"On Time","LATE ARRIVAL - "&amp;G130&amp;" min")</f>
        <v>On Time</v>
      </c>
    </row>
    <row r="131" customFormat="false" ht="15" hidden="false" customHeight="false" outlineLevel="0" collapsed="false">
      <c r="A131" s="4" t="s">
        <v>81</v>
      </c>
      <c r="B131" s="4" t="s">
        <v>82</v>
      </c>
      <c r="C131" s="4" t="s">
        <v>12</v>
      </c>
      <c r="D131" s="5" t="s">
        <v>42</v>
      </c>
      <c r="E131" s="5" t="s">
        <v>14</v>
      </c>
      <c r="F131" s="5" t="s">
        <v>66</v>
      </c>
      <c r="G131" s="6" t="n">
        <f aca="false">MAX(0,ROUND((TIMEVALUE(F131)-TIMEVALUE(E131))*1440,0)-10)</f>
        <v>0</v>
      </c>
      <c r="H131" s="5" t="str">
        <f aca="false">IF(G131=0,"On Time","LATE ARRIVAL - "&amp;G131&amp;" min")</f>
        <v>On Time</v>
      </c>
    </row>
    <row r="132" customFormat="false" ht="15" hidden="false" customHeight="false" outlineLevel="0" collapsed="false">
      <c r="A132" s="4" t="s">
        <v>81</v>
      </c>
      <c r="B132" s="4" t="s">
        <v>82</v>
      </c>
      <c r="C132" s="4" t="s">
        <v>12</v>
      </c>
      <c r="D132" s="5" t="s">
        <v>43</v>
      </c>
      <c r="E132" s="5" t="s">
        <v>14</v>
      </c>
      <c r="F132" s="5" t="s">
        <v>31</v>
      </c>
      <c r="G132" s="6" t="n">
        <f aca="false">MAX(0,ROUND((TIMEVALUE(F132)-TIMEVALUE(E132))*1440,0)-10)</f>
        <v>0</v>
      </c>
      <c r="H132" s="5" t="str">
        <f aca="false">IF(G132=0,"On Time","LATE ARRIVAL - "&amp;G132&amp;" min")</f>
        <v>On Time</v>
      </c>
    </row>
    <row r="133" customFormat="false" ht="15" hidden="false" customHeight="false" outlineLevel="0" collapsed="false">
      <c r="A133" s="4" t="s">
        <v>81</v>
      </c>
      <c r="B133" s="4" t="s">
        <v>82</v>
      </c>
      <c r="C133" s="4" t="s">
        <v>12</v>
      </c>
      <c r="D133" s="5" t="s">
        <v>45</v>
      </c>
      <c r="E133" s="5" t="s">
        <v>14</v>
      </c>
      <c r="F133" s="5" t="s">
        <v>49</v>
      </c>
      <c r="G133" s="6" t="n">
        <f aca="false">MAX(0,ROUND((TIMEVALUE(F133)-TIMEVALUE(E133))*1440,0)-10)</f>
        <v>0</v>
      </c>
      <c r="H133" s="5" t="str">
        <f aca="false">IF(G133=0,"On Time","LATE ARRIVAL - "&amp;G133&amp;" min")</f>
        <v>On Time</v>
      </c>
    </row>
    <row r="134" customFormat="false" ht="15" hidden="false" customHeight="false" outlineLevel="0" collapsed="false">
      <c r="A134" s="4" t="s">
        <v>81</v>
      </c>
      <c r="B134" s="4" t="s">
        <v>82</v>
      </c>
      <c r="C134" s="4" t="s">
        <v>12</v>
      </c>
      <c r="D134" s="5" t="s">
        <v>47</v>
      </c>
      <c r="E134" s="5" t="s">
        <v>14</v>
      </c>
      <c r="F134" s="5" t="s">
        <v>14</v>
      </c>
      <c r="G134" s="6" t="n">
        <f aca="false">MAX(0,ROUND((TIMEVALUE(F134)-TIMEVALUE(E134))*1440,0)-10)</f>
        <v>0</v>
      </c>
      <c r="H134" s="5" t="str">
        <f aca="false">IF(G134=0,"On Time","LATE ARRIVAL - "&amp;G134&amp;" min")</f>
        <v>On Time</v>
      </c>
    </row>
    <row r="135" customFormat="false" ht="15" hidden="false" customHeight="false" outlineLevel="0" collapsed="false">
      <c r="A135" s="4" t="s">
        <v>81</v>
      </c>
      <c r="B135" s="4" t="s">
        <v>82</v>
      </c>
      <c r="C135" s="4" t="s">
        <v>12</v>
      </c>
      <c r="D135" s="5" t="s">
        <v>48</v>
      </c>
      <c r="E135" s="5" t="s">
        <v>14</v>
      </c>
      <c r="F135" s="5" t="s">
        <v>72</v>
      </c>
      <c r="G135" s="6" t="n">
        <f aca="false">MAX(0,ROUND((TIMEVALUE(F135)-TIMEVALUE(E135))*1440,0)-10)</f>
        <v>0</v>
      </c>
      <c r="H135" s="5" t="str">
        <f aca="false">IF(G135=0,"On Time","LATE ARRIVAL - "&amp;G135&amp;" min")</f>
        <v>On Time</v>
      </c>
    </row>
    <row r="136" customFormat="false" ht="15" hidden="false" customHeight="false" outlineLevel="0" collapsed="false">
      <c r="A136" s="4" t="s">
        <v>81</v>
      </c>
      <c r="B136" s="4" t="s">
        <v>82</v>
      </c>
      <c r="C136" s="4" t="s">
        <v>12</v>
      </c>
      <c r="D136" s="5" t="s">
        <v>50</v>
      </c>
      <c r="E136" s="5" t="s">
        <v>14</v>
      </c>
      <c r="F136" s="5" t="s">
        <v>24</v>
      </c>
      <c r="G136" s="6" t="n">
        <f aca="false">MAX(0,ROUND((TIMEVALUE(F136)-TIMEVALUE(E136))*1440,0)-10)</f>
        <v>0</v>
      </c>
      <c r="H136" s="5" t="str">
        <f aca="false">IF(G136=0,"On Time","LATE ARRIVAL - "&amp;G136&amp;" min")</f>
        <v>On Time</v>
      </c>
    </row>
    <row r="137" customFormat="false" ht="15" hidden="false" customHeight="false" outlineLevel="0" collapsed="false">
      <c r="A137" s="4" t="s">
        <v>83</v>
      </c>
      <c r="B137" s="4" t="s">
        <v>84</v>
      </c>
      <c r="C137" s="4" t="s">
        <v>61</v>
      </c>
      <c r="D137" s="5" t="s">
        <v>13</v>
      </c>
      <c r="E137" s="5" t="s">
        <v>14</v>
      </c>
      <c r="F137" s="5" t="s">
        <v>49</v>
      </c>
      <c r="G137" s="6" t="n">
        <f aca="false">MAX(0,ROUND((TIMEVALUE(F137)-TIMEVALUE(E137))*1440,0)-10)</f>
        <v>0</v>
      </c>
      <c r="H137" s="5" t="str">
        <f aca="false">IF(G137=0,"On Time","LATE ARRIVAL - "&amp;G137&amp;" min")</f>
        <v>On Time</v>
      </c>
    </row>
    <row r="138" customFormat="false" ht="15" hidden="false" customHeight="false" outlineLevel="0" collapsed="false">
      <c r="A138" s="4" t="s">
        <v>83</v>
      </c>
      <c r="B138" s="4" t="s">
        <v>84</v>
      </c>
      <c r="C138" s="4" t="s">
        <v>61</v>
      </c>
      <c r="D138" s="5" t="s">
        <v>16</v>
      </c>
      <c r="E138" s="5" t="s">
        <v>14</v>
      </c>
      <c r="F138" s="5" t="s">
        <v>74</v>
      </c>
      <c r="G138" s="6" t="n">
        <f aca="false">MAX(0,ROUND((TIMEVALUE(F138)-TIMEVALUE(E138))*1440,0)-10)</f>
        <v>18</v>
      </c>
      <c r="H138" s="5" t="str">
        <f aca="false">IF(G138=0,"On Time","LATE ARRIVAL - "&amp;G138&amp;" min")</f>
        <v>LATE ARRIVAL - 18 min</v>
      </c>
    </row>
    <row r="139" customFormat="false" ht="15" hidden="false" customHeight="false" outlineLevel="0" collapsed="false">
      <c r="A139" s="4" t="s">
        <v>83</v>
      </c>
      <c r="B139" s="4" t="s">
        <v>84</v>
      </c>
      <c r="C139" s="4" t="s">
        <v>61</v>
      </c>
      <c r="D139" s="5" t="s">
        <v>18</v>
      </c>
      <c r="E139" s="5" t="s">
        <v>14</v>
      </c>
      <c r="F139" s="5" t="s">
        <v>76</v>
      </c>
      <c r="G139" s="6" t="n">
        <f aca="false">MAX(0,ROUND((TIMEVALUE(F139)-TIMEVALUE(E139))*1440,0)-10)</f>
        <v>35</v>
      </c>
      <c r="H139" s="5" t="str">
        <f aca="false">IF(G139=0,"On Time","LATE ARRIVAL - "&amp;G139&amp;" min")</f>
        <v>LATE ARRIVAL - 35 min</v>
      </c>
    </row>
    <row r="140" customFormat="false" ht="15" hidden="false" customHeight="false" outlineLevel="0" collapsed="false">
      <c r="A140" s="4" t="s">
        <v>83</v>
      </c>
      <c r="B140" s="4" t="s">
        <v>84</v>
      </c>
      <c r="C140" s="4" t="s">
        <v>61</v>
      </c>
      <c r="D140" s="5" t="s">
        <v>20</v>
      </c>
      <c r="E140" s="5" t="s">
        <v>14</v>
      </c>
      <c r="F140" s="5" t="s">
        <v>73</v>
      </c>
      <c r="G140" s="6" t="n">
        <f aca="false">MAX(0,ROUND((TIMEVALUE(F140)-TIMEVALUE(E140))*1440,0)-10)</f>
        <v>0</v>
      </c>
      <c r="H140" s="5" t="str">
        <f aca="false">IF(G140=0,"On Time","LATE ARRIVAL - "&amp;G140&amp;" min")</f>
        <v>On Time</v>
      </c>
    </row>
    <row r="141" customFormat="false" ht="15" hidden="false" customHeight="false" outlineLevel="0" collapsed="false">
      <c r="A141" s="4" t="s">
        <v>83</v>
      </c>
      <c r="B141" s="4" t="s">
        <v>84</v>
      </c>
      <c r="C141" s="4" t="s">
        <v>61</v>
      </c>
      <c r="D141" s="5" t="s">
        <v>21</v>
      </c>
      <c r="E141" s="5" t="s">
        <v>14</v>
      </c>
      <c r="F141" s="5" t="s">
        <v>80</v>
      </c>
      <c r="G141" s="6" t="n">
        <f aca="false">MAX(0,ROUND((TIMEVALUE(F141)-TIMEVALUE(E141))*1440,0)-10)</f>
        <v>30</v>
      </c>
      <c r="H141" s="5" t="str">
        <f aca="false">IF(G141=0,"On Time","LATE ARRIVAL - "&amp;G141&amp;" min")</f>
        <v>LATE ARRIVAL - 30 min</v>
      </c>
    </row>
    <row r="142" customFormat="false" ht="15" hidden="false" customHeight="false" outlineLevel="0" collapsed="false">
      <c r="A142" s="4" t="s">
        <v>83</v>
      </c>
      <c r="B142" s="4" t="s">
        <v>84</v>
      </c>
      <c r="C142" s="4" t="s">
        <v>61</v>
      </c>
      <c r="D142" s="5" t="s">
        <v>23</v>
      </c>
      <c r="E142" s="5" t="s">
        <v>14</v>
      </c>
      <c r="F142" s="5" t="s">
        <v>70</v>
      </c>
      <c r="G142" s="6" t="n">
        <f aca="false">MAX(0,ROUND((TIMEVALUE(F142)-TIMEVALUE(E142))*1440,0)-10)</f>
        <v>8</v>
      </c>
      <c r="H142" s="5" t="str">
        <f aca="false">IF(G142=0,"On Time","LATE ARRIVAL - "&amp;G142&amp;" min")</f>
        <v>LATE ARRIVAL - 8 min</v>
      </c>
    </row>
    <row r="143" customFormat="false" ht="15" hidden="false" customHeight="false" outlineLevel="0" collapsed="false">
      <c r="A143" s="4" t="s">
        <v>83</v>
      </c>
      <c r="B143" s="4" t="s">
        <v>84</v>
      </c>
      <c r="C143" s="4" t="s">
        <v>61</v>
      </c>
      <c r="D143" s="5" t="s">
        <v>25</v>
      </c>
      <c r="E143" s="5" t="s">
        <v>14</v>
      </c>
      <c r="F143" s="5" t="s">
        <v>71</v>
      </c>
      <c r="G143" s="6" t="n">
        <f aca="false">MAX(0,ROUND((TIMEVALUE(F143)-TIMEVALUE(E143))*1440,0)-10)</f>
        <v>5</v>
      </c>
      <c r="H143" s="5" t="str">
        <f aca="false">IF(G143=0,"On Time","LATE ARRIVAL - "&amp;G143&amp;" min")</f>
        <v>LATE ARRIVAL - 5 min</v>
      </c>
    </row>
    <row r="144" customFormat="false" ht="15" hidden="false" customHeight="false" outlineLevel="0" collapsed="false">
      <c r="A144" s="4" t="s">
        <v>83</v>
      </c>
      <c r="B144" s="4" t="s">
        <v>84</v>
      </c>
      <c r="C144" s="4" t="s">
        <v>61</v>
      </c>
      <c r="D144" s="5" t="s">
        <v>27</v>
      </c>
      <c r="E144" s="5" t="s">
        <v>14</v>
      </c>
      <c r="F144" s="5" t="s">
        <v>17</v>
      </c>
      <c r="G144" s="6" t="n">
        <f aca="false">MAX(0,ROUND((TIMEVALUE(F144)-TIMEVALUE(E144))*1440,0)-10)</f>
        <v>0</v>
      </c>
      <c r="H144" s="5" t="str">
        <f aca="false">IF(G144=0,"On Time","LATE ARRIVAL - "&amp;G144&amp;" min")</f>
        <v>On Time</v>
      </c>
    </row>
    <row r="145" customFormat="false" ht="15" hidden="false" customHeight="false" outlineLevel="0" collapsed="false">
      <c r="A145" s="4" t="s">
        <v>83</v>
      </c>
      <c r="B145" s="4" t="s">
        <v>84</v>
      </c>
      <c r="C145" s="4" t="s">
        <v>61</v>
      </c>
      <c r="D145" s="5" t="s">
        <v>29</v>
      </c>
      <c r="E145" s="5" t="s">
        <v>14</v>
      </c>
      <c r="F145" s="5" t="s">
        <v>76</v>
      </c>
      <c r="G145" s="6" t="n">
        <f aca="false">MAX(0,ROUND((TIMEVALUE(F145)-TIMEVALUE(E145))*1440,0)-10)</f>
        <v>35</v>
      </c>
      <c r="H145" s="5" t="str">
        <f aca="false">IF(G145=0,"On Time","LATE ARRIVAL - "&amp;G145&amp;" min")</f>
        <v>LATE ARRIVAL - 35 min</v>
      </c>
    </row>
    <row r="146" customFormat="false" ht="15" hidden="false" customHeight="false" outlineLevel="0" collapsed="false">
      <c r="A146" s="4" t="s">
        <v>83</v>
      </c>
      <c r="B146" s="4" t="s">
        <v>84</v>
      </c>
      <c r="C146" s="4" t="s">
        <v>61</v>
      </c>
      <c r="D146" s="5" t="s">
        <v>30</v>
      </c>
      <c r="E146" s="5" t="s">
        <v>14</v>
      </c>
      <c r="F146" s="5" t="s">
        <v>76</v>
      </c>
      <c r="G146" s="6" t="n">
        <f aca="false">MAX(0,ROUND((TIMEVALUE(F146)-TIMEVALUE(E146))*1440,0)-10)</f>
        <v>35</v>
      </c>
      <c r="H146" s="5" t="str">
        <f aca="false">IF(G146=0,"On Time","LATE ARRIVAL - "&amp;G146&amp;" min")</f>
        <v>LATE ARRIVAL - 35 min</v>
      </c>
    </row>
    <row r="147" customFormat="false" ht="15" hidden="false" customHeight="false" outlineLevel="0" collapsed="false">
      <c r="A147" s="4" t="s">
        <v>83</v>
      </c>
      <c r="B147" s="4" t="s">
        <v>84</v>
      </c>
      <c r="C147" s="4" t="s">
        <v>61</v>
      </c>
      <c r="D147" s="5" t="s">
        <v>32</v>
      </c>
      <c r="E147" s="5" t="s">
        <v>14</v>
      </c>
      <c r="F147" s="5" t="s">
        <v>71</v>
      </c>
      <c r="G147" s="6" t="n">
        <f aca="false">MAX(0,ROUND((TIMEVALUE(F147)-TIMEVALUE(E147))*1440,0)-10)</f>
        <v>5</v>
      </c>
      <c r="H147" s="5" t="str">
        <f aca="false">IF(G147=0,"On Time","LATE ARRIVAL - "&amp;G147&amp;" min")</f>
        <v>LATE ARRIVAL - 5 min</v>
      </c>
    </row>
    <row r="148" customFormat="false" ht="15" hidden="false" customHeight="false" outlineLevel="0" collapsed="false">
      <c r="A148" s="4" t="s">
        <v>83</v>
      </c>
      <c r="B148" s="4" t="s">
        <v>84</v>
      </c>
      <c r="C148" s="4" t="s">
        <v>61</v>
      </c>
      <c r="D148" s="5" t="s">
        <v>33</v>
      </c>
      <c r="E148" s="5" t="s">
        <v>14</v>
      </c>
      <c r="F148" s="5" t="s">
        <v>76</v>
      </c>
      <c r="G148" s="6" t="n">
        <f aca="false">MAX(0,ROUND((TIMEVALUE(F148)-TIMEVALUE(E148))*1440,0)-10)</f>
        <v>35</v>
      </c>
      <c r="H148" s="5" t="str">
        <f aca="false">IF(G148=0,"On Time","LATE ARRIVAL - "&amp;G148&amp;" min")</f>
        <v>LATE ARRIVAL - 35 min</v>
      </c>
    </row>
    <row r="149" customFormat="false" ht="15" hidden="false" customHeight="false" outlineLevel="0" collapsed="false">
      <c r="A149" s="4" t="s">
        <v>83</v>
      </c>
      <c r="B149" s="4" t="s">
        <v>84</v>
      </c>
      <c r="C149" s="4" t="s">
        <v>61</v>
      </c>
      <c r="D149" s="5" t="s">
        <v>35</v>
      </c>
      <c r="E149" s="5" t="s">
        <v>14</v>
      </c>
      <c r="F149" s="5" t="s">
        <v>39</v>
      </c>
      <c r="G149" s="6" t="n">
        <f aca="false">MAX(0,ROUND((TIMEVALUE(F149)-TIMEVALUE(E149))*1440,0)-10)</f>
        <v>0</v>
      </c>
      <c r="H149" s="5" t="str">
        <f aca="false">IF(G149=0,"On Time","LATE ARRIVAL - "&amp;G149&amp;" min")</f>
        <v>On Time</v>
      </c>
    </row>
    <row r="150" customFormat="false" ht="15" hidden="false" customHeight="false" outlineLevel="0" collapsed="false">
      <c r="A150" s="4" t="s">
        <v>83</v>
      </c>
      <c r="B150" s="4" t="s">
        <v>84</v>
      </c>
      <c r="C150" s="4" t="s">
        <v>61</v>
      </c>
      <c r="D150" s="5" t="s">
        <v>36</v>
      </c>
      <c r="E150" s="5" t="s">
        <v>14</v>
      </c>
      <c r="F150" s="5" t="s">
        <v>41</v>
      </c>
      <c r="G150" s="6" t="n">
        <f aca="false">MAX(0,ROUND((TIMEVALUE(F150)-TIMEVALUE(E150))*1440,0)-10)</f>
        <v>0</v>
      </c>
      <c r="H150" s="5" t="str">
        <f aca="false">IF(G150=0,"On Time","LATE ARRIVAL - "&amp;G150&amp;" min")</f>
        <v>On Time</v>
      </c>
    </row>
    <row r="151" customFormat="false" ht="15" hidden="false" customHeight="false" outlineLevel="0" collapsed="false">
      <c r="A151" s="4" t="s">
        <v>83</v>
      </c>
      <c r="B151" s="4" t="s">
        <v>84</v>
      </c>
      <c r="C151" s="4" t="s">
        <v>61</v>
      </c>
      <c r="D151" s="5" t="s">
        <v>38</v>
      </c>
      <c r="E151" s="5" t="s">
        <v>14</v>
      </c>
      <c r="F151" s="5" t="s">
        <v>39</v>
      </c>
      <c r="G151" s="6" t="n">
        <f aca="false">MAX(0,ROUND((TIMEVALUE(F151)-TIMEVALUE(E151))*1440,0)-10)</f>
        <v>0</v>
      </c>
      <c r="H151" s="5" t="str">
        <f aca="false">IF(G151=0,"On Time","LATE ARRIVAL - "&amp;G151&amp;" min")</f>
        <v>On Time</v>
      </c>
    </row>
    <row r="152" customFormat="false" ht="15" hidden="false" customHeight="false" outlineLevel="0" collapsed="false">
      <c r="A152" s="4" t="s">
        <v>83</v>
      </c>
      <c r="B152" s="4" t="s">
        <v>84</v>
      </c>
      <c r="C152" s="4" t="s">
        <v>61</v>
      </c>
      <c r="D152" s="5" t="s">
        <v>40</v>
      </c>
      <c r="E152" s="5" t="s">
        <v>14</v>
      </c>
      <c r="F152" s="5" t="s">
        <v>57</v>
      </c>
      <c r="G152" s="6" t="n">
        <f aca="false">MAX(0,ROUND((TIMEVALUE(F152)-TIMEVALUE(E152))*1440,0)-10)</f>
        <v>20</v>
      </c>
      <c r="H152" s="5" t="str">
        <f aca="false">IF(G152=0,"On Time","LATE ARRIVAL - "&amp;G152&amp;" min")</f>
        <v>LATE ARRIVAL - 20 min</v>
      </c>
    </row>
    <row r="153" customFormat="false" ht="15" hidden="false" customHeight="false" outlineLevel="0" collapsed="false">
      <c r="A153" s="4" t="s">
        <v>83</v>
      </c>
      <c r="B153" s="4" t="s">
        <v>84</v>
      </c>
      <c r="C153" s="4" t="s">
        <v>61</v>
      </c>
      <c r="D153" s="5" t="s">
        <v>42</v>
      </c>
      <c r="E153" s="5" t="s">
        <v>14</v>
      </c>
      <c r="F153" s="5" t="s">
        <v>55</v>
      </c>
      <c r="G153" s="6" t="n">
        <f aca="false">MAX(0,ROUND((TIMEVALUE(F153)-TIMEVALUE(E153))*1440,0)-10)</f>
        <v>40</v>
      </c>
      <c r="H153" s="5" t="str">
        <f aca="false">IF(G153=0,"On Time","LATE ARRIVAL - "&amp;G153&amp;" min")</f>
        <v>LATE ARRIVAL - 40 min</v>
      </c>
    </row>
    <row r="154" customFormat="false" ht="15" hidden="false" customHeight="false" outlineLevel="0" collapsed="false">
      <c r="A154" s="4" t="s">
        <v>83</v>
      </c>
      <c r="B154" s="4" t="s">
        <v>84</v>
      </c>
      <c r="C154" s="4" t="s">
        <v>61</v>
      </c>
      <c r="D154" s="5" t="s">
        <v>43</v>
      </c>
      <c r="E154" s="5" t="s">
        <v>14</v>
      </c>
      <c r="F154" s="5" t="s">
        <v>74</v>
      </c>
      <c r="G154" s="6" t="n">
        <f aca="false">MAX(0,ROUND((TIMEVALUE(F154)-TIMEVALUE(E154))*1440,0)-10)</f>
        <v>18</v>
      </c>
      <c r="H154" s="5" t="str">
        <f aca="false">IF(G154=0,"On Time","LATE ARRIVAL - "&amp;G154&amp;" min")</f>
        <v>LATE ARRIVAL - 18 min</v>
      </c>
    </row>
    <row r="155" customFormat="false" ht="15" hidden="false" customHeight="false" outlineLevel="0" collapsed="false">
      <c r="A155" s="4" t="s">
        <v>83</v>
      </c>
      <c r="B155" s="4" t="s">
        <v>84</v>
      </c>
      <c r="C155" s="4" t="s">
        <v>61</v>
      </c>
      <c r="D155" s="5" t="s">
        <v>45</v>
      </c>
      <c r="E155" s="5" t="s">
        <v>14</v>
      </c>
      <c r="F155" s="5" t="s">
        <v>22</v>
      </c>
      <c r="G155" s="6" t="n">
        <f aca="false">MAX(0,ROUND((TIMEVALUE(F155)-TIMEVALUE(E155))*1440,0)-10)</f>
        <v>0</v>
      </c>
      <c r="H155" s="5" t="str">
        <f aca="false">IF(G155=0,"On Time","LATE ARRIVAL - "&amp;G155&amp;" min")</f>
        <v>On Time</v>
      </c>
    </row>
    <row r="156" customFormat="false" ht="15" hidden="false" customHeight="false" outlineLevel="0" collapsed="false">
      <c r="A156" s="4" t="s">
        <v>83</v>
      </c>
      <c r="B156" s="4" t="s">
        <v>84</v>
      </c>
      <c r="C156" s="4" t="s">
        <v>61</v>
      </c>
      <c r="D156" s="5" t="s">
        <v>47</v>
      </c>
      <c r="E156" s="5" t="s">
        <v>14</v>
      </c>
      <c r="F156" s="5" t="s">
        <v>76</v>
      </c>
      <c r="G156" s="6" t="n">
        <f aca="false">MAX(0,ROUND((TIMEVALUE(F156)-TIMEVALUE(E156))*1440,0)-10)</f>
        <v>35</v>
      </c>
      <c r="H156" s="5" t="str">
        <f aca="false">IF(G156=0,"On Time","LATE ARRIVAL - "&amp;G156&amp;" min")</f>
        <v>LATE ARRIVAL - 35 min</v>
      </c>
    </row>
    <row r="157" customFormat="false" ht="15" hidden="false" customHeight="false" outlineLevel="0" collapsed="false">
      <c r="A157" s="4" t="s">
        <v>83</v>
      </c>
      <c r="B157" s="4" t="s">
        <v>84</v>
      </c>
      <c r="C157" s="4" t="s">
        <v>61</v>
      </c>
      <c r="D157" s="5" t="s">
        <v>48</v>
      </c>
      <c r="E157" s="5" t="s">
        <v>14</v>
      </c>
      <c r="F157" s="5" t="s">
        <v>65</v>
      </c>
      <c r="G157" s="6" t="n">
        <f aca="false">MAX(0,ROUND((TIMEVALUE(F157)-TIMEVALUE(E157))*1440,0)-10)</f>
        <v>0</v>
      </c>
      <c r="H157" s="5" t="str">
        <f aca="false">IF(G157=0,"On Time","LATE ARRIVAL - "&amp;G157&amp;" min")</f>
        <v>On Time</v>
      </c>
    </row>
    <row r="158" customFormat="false" ht="15" hidden="false" customHeight="false" outlineLevel="0" collapsed="false">
      <c r="A158" s="4" t="s">
        <v>83</v>
      </c>
      <c r="B158" s="4" t="s">
        <v>84</v>
      </c>
      <c r="C158" s="4" t="s">
        <v>61</v>
      </c>
      <c r="D158" s="5" t="s">
        <v>50</v>
      </c>
      <c r="E158" s="5" t="s">
        <v>14</v>
      </c>
      <c r="F158" s="5" t="s">
        <v>26</v>
      </c>
      <c r="G158" s="6" t="n">
        <f aca="false">MAX(0,ROUND((TIMEVALUE(F158)-TIMEVALUE(E158))*1440,0)-10)</f>
        <v>12</v>
      </c>
      <c r="H158" s="5" t="str">
        <f aca="false">IF(G158=0,"On Time","LATE ARRIVAL - "&amp;G158&amp;" min")</f>
        <v>LATE ARRIVAL - 12 min</v>
      </c>
    </row>
    <row r="159" customFormat="false" ht="15" hidden="false" customHeight="false" outlineLevel="0" collapsed="false">
      <c r="A159" s="4" t="s">
        <v>85</v>
      </c>
      <c r="B159" s="4" t="s">
        <v>86</v>
      </c>
      <c r="C159" s="4" t="s">
        <v>53</v>
      </c>
      <c r="D159" s="5" t="s">
        <v>13</v>
      </c>
      <c r="E159" s="5" t="s">
        <v>14</v>
      </c>
      <c r="F159" s="5" t="s">
        <v>64</v>
      </c>
      <c r="G159" s="6" t="n">
        <f aca="false">MAX(0,ROUND((TIMEVALUE(F159)-TIMEVALUE(E159))*1440,0)-10)</f>
        <v>0</v>
      </c>
      <c r="H159" s="5" t="str">
        <f aca="false">IF(G159=0,"On Time","LATE ARRIVAL - "&amp;G159&amp;" min")</f>
        <v>On Time</v>
      </c>
    </row>
    <row r="160" customFormat="false" ht="15" hidden="false" customHeight="false" outlineLevel="0" collapsed="false">
      <c r="A160" s="4" t="s">
        <v>85</v>
      </c>
      <c r="B160" s="4" t="s">
        <v>86</v>
      </c>
      <c r="C160" s="4" t="s">
        <v>53</v>
      </c>
      <c r="D160" s="5" t="s">
        <v>16</v>
      </c>
      <c r="E160" s="5" t="s">
        <v>14</v>
      </c>
      <c r="F160" s="5" t="s">
        <v>22</v>
      </c>
      <c r="G160" s="6" t="n">
        <f aca="false">MAX(0,ROUND((TIMEVALUE(F160)-TIMEVALUE(E160))*1440,0)-10)</f>
        <v>0</v>
      </c>
      <c r="H160" s="5" t="str">
        <f aca="false">IF(G160=0,"On Time","LATE ARRIVAL - "&amp;G160&amp;" min")</f>
        <v>On Time</v>
      </c>
    </row>
    <row r="161" customFormat="false" ht="15" hidden="false" customHeight="false" outlineLevel="0" collapsed="false">
      <c r="A161" s="4" t="s">
        <v>85</v>
      </c>
      <c r="B161" s="4" t="s">
        <v>86</v>
      </c>
      <c r="C161" s="4" t="s">
        <v>53</v>
      </c>
      <c r="D161" s="5" t="s">
        <v>18</v>
      </c>
      <c r="E161" s="5" t="s">
        <v>14</v>
      </c>
      <c r="F161" s="5" t="s">
        <v>46</v>
      </c>
      <c r="G161" s="6" t="n">
        <f aca="false">MAX(0,ROUND((TIMEVALUE(F161)-TIMEVALUE(E161))*1440,0)-10)</f>
        <v>0</v>
      </c>
      <c r="H161" s="5" t="str">
        <f aca="false">IF(G161=0,"On Time","LATE ARRIVAL - "&amp;G161&amp;" min")</f>
        <v>On Time</v>
      </c>
    </row>
    <row r="162" customFormat="false" ht="15" hidden="false" customHeight="false" outlineLevel="0" collapsed="false">
      <c r="A162" s="4" t="s">
        <v>85</v>
      </c>
      <c r="B162" s="4" t="s">
        <v>86</v>
      </c>
      <c r="C162" s="4" t="s">
        <v>53</v>
      </c>
      <c r="D162" s="5" t="s">
        <v>20</v>
      </c>
      <c r="E162" s="5" t="s">
        <v>14</v>
      </c>
      <c r="F162" s="5" t="s">
        <v>66</v>
      </c>
      <c r="G162" s="6" t="n">
        <f aca="false">MAX(0,ROUND((TIMEVALUE(F162)-TIMEVALUE(E162))*1440,0)-10)</f>
        <v>0</v>
      </c>
      <c r="H162" s="5" t="str">
        <f aca="false">IF(G162=0,"On Time","LATE ARRIVAL - "&amp;G162&amp;" min")</f>
        <v>On Time</v>
      </c>
    </row>
    <row r="163" customFormat="false" ht="15" hidden="false" customHeight="false" outlineLevel="0" collapsed="false">
      <c r="A163" s="4" t="s">
        <v>85</v>
      </c>
      <c r="B163" s="4" t="s">
        <v>86</v>
      </c>
      <c r="C163" s="4" t="s">
        <v>53</v>
      </c>
      <c r="D163" s="5" t="s">
        <v>21</v>
      </c>
      <c r="E163" s="5" t="s">
        <v>14</v>
      </c>
      <c r="F163" s="5" t="s">
        <v>31</v>
      </c>
      <c r="G163" s="6" t="n">
        <f aca="false">MAX(0,ROUND((TIMEVALUE(F163)-TIMEVALUE(E163))*1440,0)-10)</f>
        <v>0</v>
      </c>
      <c r="H163" s="5" t="str">
        <f aca="false">IF(G163=0,"On Time","LATE ARRIVAL - "&amp;G163&amp;" min")</f>
        <v>On Time</v>
      </c>
    </row>
    <row r="164" customFormat="false" ht="15" hidden="false" customHeight="false" outlineLevel="0" collapsed="false">
      <c r="A164" s="4" t="s">
        <v>85</v>
      </c>
      <c r="B164" s="4" t="s">
        <v>86</v>
      </c>
      <c r="C164" s="4" t="s">
        <v>53</v>
      </c>
      <c r="D164" s="5" t="s">
        <v>23</v>
      </c>
      <c r="E164" s="5" t="s">
        <v>14</v>
      </c>
      <c r="F164" s="5" t="s">
        <v>56</v>
      </c>
      <c r="G164" s="6" t="n">
        <f aca="false">MAX(0,ROUND((TIMEVALUE(F164)-TIMEVALUE(E164))*1440,0)-10)</f>
        <v>0</v>
      </c>
      <c r="H164" s="5" t="str">
        <f aca="false">IF(G164=0,"On Time","LATE ARRIVAL - "&amp;G164&amp;" min")</f>
        <v>On Time</v>
      </c>
    </row>
    <row r="165" customFormat="false" ht="15" hidden="false" customHeight="false" outlineLevel="0" collapsed="false">
      <c r="A165" s="4" t="s">
        <v>85</v>
      </c>
      <c r="B165" s="4" t="s">
        <v>86</v>
      </c>
      <c r="C165" s="4" t="s">
        <v>53</v>
      </c>
      <c r="D165" s="5" t="s">
        <v>25</v>
      </c>
      <c r="E165" s="5" t="s">
        <v>14</v>
      </c>
      <c r="F165" s="5" t="s">
        <v>87</v>
      </c>
      <c r="G165" s="6" t="n">
        <f aca="false">MAX(0,ROUND((TIMEVALUE(F165)-TIMEVALUE(E165))*1440,0)-10)</f>
        <v>0</v>
      </c>
      <c r="H165" s="5" t="str">
        <f aca="false">IF(G165=0,"On Time","LATE ARRIVAL - "&amp;G165&amp;" min")</f>
        <v>On Time</v>
      </c>
    </row>
    <row r="166" customFormat="false" ht="15" hidden="false" customHeight="false" outlineLevel="0" collapsed="false">
      <c r="A166" s="4" t="s">
        <v>85</v>
      </c>
      <c r="B166" s="4" t="s">
        <v>86</v>
      </c>
      <c r="C166" s="4" t="s">
        <v>53</v>
      </c>
      <c r="D166" s="5" t="s">
        <v>27</v>
      </c>
      <c r="E166" s="5" t="s">
        <v>14</v>
      </c>
      <c r="F166" s="5" t="s">
        <v>72</v>
      </c>
      <c r="G166" s="6" t="n">
        <f aca="false">MAX(0,ROUND((TIMEVALUE(F166)-TIMEVALUE(E166))*1440,0)-10)</f>
        <v>0</v>
      </c>
      <c r="H166" s="5" t="str">
        <f aca="false">IF(G166=0,"On Time","LATE ARRIVAL - "&amp;G166&amp;" min")</f>
        <v>On Time</v>
      </c>
    </row>
    <row r="167" customFormat="false" ht="15" hidden="false" customHeight="false" outlineLevel="0" collapsed="false">
      <c r="A167" s="4" t="s">
        <v>85</v>
      </c>
      <c r="B167" s="4" t="s">
        <v>86</v>
      </c>
      <c r="C167" s="4" t="s">
        <v>53</v>
      </c>
      <c r="D167" s="5" t="s">
        <v>29</v>
      </c>
      <c r="E167" s="5" t="s">
        <v>14</v>
      </c>
      <c r="F167" s="5" t="s">
        <v>65</v>
      </c>
      <c r="G167" s="6" t="n">
        <f aca="false">MAX(0,ROUND((TIMEVALUE(F167)-TIMEVALUE(E167))*1440,0)-10)</f>
        <v>0</v>
      </c>
      <c r="H167" s="5" t="str">
        <f aca="false">IF(G167=0,"On Time","LATE ARRIVAL - "&amp;G167&amp;" min")</f>
        <v>On Time</v>
      </c>
    </row>
    <row r="168" customFormat="false" ht="15" hidden="false" customHeight="false" outlineLevel="0" collapsed="false">
      <c r="A168" s="4" t="s">
        <v>85</v>
      </c>
      <c r="B168" s="4" t="s">
        <v>86</v>
      </c>
      <c r="C168" s="4" t="s">
        <v>53</v>
      </c>
      <c r="D168" s="5" t="s">
        <v>30</v>
      </c>
      <c r="E168" s="5" t="s">
        <v>14</v>
      </c>
      <c r="F168" s="5" t="s">
        <v>64</v>
      </c>
      <c r="G168" s="6" t="n">
        <f aca="false">MAX(0,ROUND((TIMEVALUE(F168)-TIMEVALUE(E168))*1440,0)-10)</f>
        <v>0</v>
      </c>
      <c r="H168" s="5" t="str">
        <f aca="false">IF(G168=0,"On Time","LATE ARRIVAL - "&amp;G168&amp;" min")</f>
        <v>On Time</v>
      </c>
    </row>
    <row r="169" customFormat="false" ht="15" hidden="false" customHeight="false" outlineLevel="0" collapsed="false">
      <c r="A169" s="4" t="s">
        <v>85</v>
      </c>
      <c r="B169" s="4" t="s">
        <v>86</v>
      </c>
      <c r="C169" s="4" t="s">
        <v>53</v>
      </c>
      <c r="D169" s="5" t="s">
        <v>32</v>
      </c>
      <c r="E169" s="5" t="s">
        <v>14</v>
      </c>
      <c r="F169" s="5" t="s">
        <v>65</v>
      </c>
      <c r="G169" s="6" t="n">
        <f aca="false">MAX(0,ROUND((TIMEVALUE(F169)-TIMEVALUE(E169))*1440,0)-10)</f>
        <v>0</v>
      </c>
      <c r="H169" s="5" t="str">
        <f aca="false">IF(G169=0,"On Time","LATE ARRIVAL - "&amp;G169&amp;" min")</f>
        <v>On Time</v>
      </c>
    </row>
    <row r="170" customFormat="false" ht="15" hidden="false" customHeight="false" outlineLevel="0" collapsed="false">
      <c r="A170" s="4" t="s">
        <v>85</v>
      </c>
      <c r="B170" s="4" t="s">
        <v>86</v>
      </c>
      <c r="C170" s="4" t="s">
        <v>53</v>
      </c>
      <c r="D170" s="5" t="s">
        <v>33</v>
      </c>
      <c r="E170" s="5" t="s">
        <v>14</v>
      </c>
      <c r="F170" s="5" t="s">
        <v>64</v>
      </c>
      <c r="G170" s="6" t="n">
        <f aca="false">MAX(0,ROUND((TIMEVALUE(F170)-TIMEVALUE(E170))*1440,0)-10)</f>
        <v>0</v>
      </c>
      <c r="H170" s="5" t="str">
        <f aca="false">IF(G170=0,"On Time","LATE ARRIVAL - "&amp;G170&amp;" min")</f>
        <v>On Time</v>
      </c>
    </row>
    <row r="171" customFormat="false" ht="15" hidden="false" customHeight="false" outlineLevel="0" collapsed="false">
      <c r="A171" s="4" t="s">
        <v>85</v>
      </c>
      <c r="B171" s="4" t="s">
        <v>86</v>
      </c>
      <c r="C171" s="4" t="s">
        <v>53</v>
      </c>
      <c r="D171" s="5" t="s">
        <v>35</v>
      </c>
      <c r="E171" s="5" t="s">
        <v>14</v>
      </c>
      <c r="F171" s="5" t="s">
        <v>28</v>
      </c>
      <c r="G171" s="6" t="n">
        <f aca="false">MAX(0,ROUND((TIMEVALUE(F171)-TIMEVALUE(E171))*1440,0)-10)</f>
        <v>0</v>
      </c>
      <c r="H171" s="5" t="str">
        <f aca="false">IF(G171=0,"On Time","LATE ARRIVAL - "&amp;G171&amp;" min")</f>
        <v>On Time</v>
      </c>
    </row>
    <row r="172" customFormat="false" ht="15" hidden="false" customHeight="false" outlineLevel="0" collapsed="false">
      <c r="A172" s="4" t="s">
        <v>85</v>
      </c>
      <c r="B172" s="4" t="s">
        <v>86</v>
      </c>
      <c r="C172" s="4" t="s">
        <v>53</v>
      </c>
      <c r="D172" s="5" t="s">
        <v>36</v>
      </c>
      <c r="E172" s="5" t="s">
        <v>14</v>
      </c>
      <c r="F172" s="5" t="s">
        <v>39</v>
      </c>
      <c r="G172" s="6" t="n">
        <f aca="false">MAX(0,ROUND((TIMEVALUE(F172)-TIMEVALUE(E172))*1440,0)-10)</f>
        <v>0</v>
      </c>
      <c r="H172" s="5" t="str">
        <f aca="false">IF(G172=0,"On Time","LATE ARRIVAL - "&amp;G172&amp;" min")</f>
        <v>On Time</v>
      </c>
    </row>
    <row r="173" customFormat="false" ht="15" hidden="false" customHeight="false" outlineLevel="0" collapsed="false">
      <c r="A173" s="4" t="s">
        <v>85</v>
      </c>
      <c r="B173" s="4" t="s">
        <v>86</v>
      </c>
      <c r="C173" s="4" t="s">
        <v>53</v>
      </c>
      <c r="D173" s="5" t="s">
        <v>38</v>
      </c>
      <c r="E173" s="5" t="s">
        <v>14</v>
      </c>
      <c r="F173" s="5" t="s">
        <v>56</v>
      </c>
      <c r="G173" s="6" t="n">
        <f aca="false">MAX(0,ROUND((TIMEVALUE(F173)-TIMEVALUE(E173))*1440,0)-10)</f>
        <v>0</v>
      </c>
      <c r="H173" s="5" t="str">
        <f aca="false">IF(G173=0,"On Time","LATE ARRIVAL - "&amp;G173&amp;" min")</f>
        <v>On Time</v>
      </c>
    </row>
    <row r="174" customFormat="false" ht="15" hidden="false" customHeight="false" outlineLevel="0" collapsed="false">
      <c r="A174" s="4" t="s">
        <v>85</v>
      </c>
      <c r="B174" s="4" t="s">
        <v>86</v>
      </c>
      <c r="C174" s="4" t="s">
        <v>53</v>
      </c>
      <c r="D174" s="5" t="s">
        <v>40</v>
      </c>
      <c r="E174" s="5" t="s">
        <v>14</v>
      </c>
      <c r="F174" s="5" t="s">
        <v>73</v>
      </c>
      <c r="G174" s="6" t="n">
        <f aca="false">MAX(0,ROUND((TIMEVALUE(F174)-TIMEVALUE(E174))*1440,0)-10)</f>
        <v>0</v>
      </c>
      <c r="H174" s="5" t="str">
        <f aca="false">IF(G174=0,"On Time","LATE ARRIVAL - "&amp;G174&amp;" min")</f>
        <v>On Time</v>
      </c>
    </row>
    <row r="175" customFormat="false" ht="15" hidden="false" customHeight="false" outlineLevel="0" collapsed="false">
      <c r="A175" s="4" t="s">
        <v>85</v>
      </c>
      <c r="B175" s="4" t="s">
        <v>86</v>
      </c>
      <c r="C175" s="4" t="s">
        <v>53</v>
      </c>
      <c r="D175" s="5" t="s">
        <v>42</v>
      </c>
      <c r="E175" s="5" t="s">
        <v>14</v>
      </c>
      <c r="F175" s="5" t="s">
        <v>24</v>
      </c>
      <c r="G175" s="6" t="n">
        <f aca="false">MAX(0,ROUND((TIMEVALUE(F175)-TIMEVALUE(E175))*1440,0)-10)</f>
        <v>0</v>
      </c>
      <c r="H175" s="5" t="str">
        <f aca="false">IF(G175=0,"On Time","LATE ARRIVAL - "&amp;G175&amp;" min")</f>
        <v>On Time</v>
      </c>
    </row>
    <row r="176" customFormat="false" ht="15" hidden="false" customHeight="false" outlineLevel="0" collapsed="false">
      <c r="A176" s="4" t="s">
        <v>85</v>
      </c>
      <c r="B176" s="4" t="s">
        <v>86</v>
      </c>
      <c r="C176" s="4" t="s">
        <v>53</v>
      </c>
      <c r="D176" s="5" t="s">
        <v>43</v>
      </c>
      <c r="E176" s="5" t="s">
        <v>14</v>
      </c>
      <c r="F176" s="5" t="s">
        <v>63</v>
      </c>
      <c r="G176" s="6" t="n">
        <f aca="false">MAX(0,ROUND((TIMEVALUE(F176)-TIMEVALUE(E176))*1440,0)-10)</f>
        <v>0</v>
      </c>
      <c r="H176" s="5" t="str">
        <f aca="false">IF(G176=0,"On Time","LATE ARRIVAL - "&amp;G176&amp;" min")</f>
        <v>On Time</v>
      </c>
    </row>
    <row r="177" customFormat="false" ht="15" hidden="false" customHeight="false" outlineLevel="0" collapsed="false">
      <c r="A177" s="4" t="s">
        <v>85</v>
      </c>
      <c r="B177" s="4" t="s">
        <v>86</v>
      </c>
      <c r="C177" s="4" t="s">
        <v>53</v>
      </c>
      <c r="D177" s="5" t="s">
        <v>45</v>
      </c>
      <c r="E177" s="5" t="s">
        <v>14</v>
      </c>
      <c r="F177" s="5" t="s">
        <v>24</v>
      </c>
      <c r="G177" s="6" t="n">
        <f aca="false">MAX(0,ROUND((TIMEVALUE(F177)-TIMEVALUE(E177))*1440,0)-10)</f>
        <v>0</v>
      </c>
      <c r="H177" s="5" t="str">
        <f aca="false">IF(G177=0,"On Time","LATE ARRIVAL - "&amp;G177&amp;" min")</f>
        <v>On Time</v>
      </c>
    </row>
    <row r="178" customFormat="false" ht="15" hidden="false" customHeight="false" outlineLevel="0" collapsed="false">
      <c r="A178" s="4" t="s">
        <v>85</v>
      </c>
      <c r="B178" s="4" t="s">
        <v>86</v>
      </c>
      <c r="C178" s="4" t="s">
        <v>53</v>
      </c>
      <c r="D178" s="5" t="s">
        <v>47</v>
      </c>
      <c r="E178" s="5" t="s">
        <v>14</v>
      </c>
      <c r="F178" s="5" t="s">
        <v>70</v>
      </c>
      <c r="G178" s="6" t="n">
        <f aca="false">MAX(0,ROUND((TIMEVALUE(F178)-TIMEVALUE(E178))*1440,0)-10)</f>
        <v>8</v>
      </c>
      <c r="H178" s="5" t="str">
        <f aca="false">IF(G178=0,"On Time","LATE ARRIVAL - "&amp;G178&amp;" min")</f>
        <v>LATE ARRIVAL - 8 min</v>
      </c>
    </row>
    <row r="179" customFormat="false" ht="15" hidden="false" customHeight="false" outlineLevel="0" collapsed="false">
      <c r="A179" s="4" t="s">
        <v>85</v>
      </c>
      <c r="B179" s="4" t="s">
        <v>86</v>
      </c>
      <c r="C179" s="4" t="s">
        <v>53</v>
      </c>
      <c r="D179" s="5" t="s">
        <v>48</v>
      </c>
      <c r="E179" s="5" t="s">
        <v>14</v>
      </c>
      <c r="F179" s="5" t="s">
        <v>34</v>
      </c>
      <c r="G179" s="6" t="n">
        <f aca="false">MAX(0,ROUND((TIMEVALUE(F179)-TIMEVALUE(E179))*1440,0)-10)</f>
        <v>0</v>
      </c>
      <c r="H179" s="5" t="str">
        <f aca="false">IF(G179=0,"On Time","LATE ARRIVAL - "&amp;G179&amp;" min")</f>
        <v>On Time</v>
      </c>
    </row>
    <row r="180" customFormat="false" ht="15" hidden="false" customHeight="false" outlineLevel="0" collapsed="false">
      <c r="A180" s="4" t="s">
        <v>85</v>
      </c>
      <c r="B180" s="4" t="s">
        <v>86</v>
      </c>
      <c r="C180" s="4" t="s">
        <v>53</v>
      </c>
      <c r="D180" s="5" t="s">
        <v>50</v>
      </c>
      <c r="E180" s="5" t="s">
        <v>14</v>
      </c>
      <c r="F180" s="5" t="s">
        <v>66</v>
      </c>
      <c r="G180" s="6" t="n">
        <f aca="false">MAX(0,ROUND((TIMEVALUE(F180)-TIMEVALUE(E180))*1440,0)-10)</f>
        <v>0</v>
      </c>
      <c r="H180" s="5" t="str">
        <f aca="false">IF(G180=0,"On Time","LATE ARRIVAL - "&amp;G180&amp;" min")</f>
        <v>On Time</v>
      </c>
    </row>
    <row r="181" customFormat="false" ht="15" hidden="false" customHeight="false" outlineLevel="0" collapsed="false">
      <c r="A181" s="4" t="s">
        <v>88</v>
      </c>
      <c r="B181" s="4" t="s">
        <v>89</v>
      </c>
      <c r="C181" s="4" t="s">
        <v>69</v>
      </c>
      <c r="D181" s="5" t="s">
        <v>13</v>
      </c>
      <c r="E181" s="5" t="s">
        <v>14</v>
      </c>
      <c r="F181" s="5" t="s">
        <v>63</v>
      </c>
      <c r="G181" s="6" t="n">
        <f aca="false">MAX(0,ROUND((TIMEVALUE(F181)-TIMEVALUE(E181))*1440,0)-10)</f>
        <v>0</v>
      </c>
      <c r="H181" s="5" t="str">
        <f aca="false">IF(G181=0,"On Time","LATE ARRIVAL - "&amp;G181&amp;" min")</f>
        <v>On Time</v>
      </c>
    </row>
    <row r="182" customFormat="false" ht="15" hidden="false" customHeight="false" outlineLevel="0" collapsed="false">
      <c r="A182" s="4" t="s">
        <v>88</v>
      </c>
      <c r="B182" s="4" t="s">
        <v>89</v>
      </c>
      <c r="C182" s="4" t="s">
        <v>69</v>
      </c>
      <c r="D182" s="5" t="s">
        <v>16</v>
      </c>
      <c r="E182" s="5" t="s">
        <v>14</v>
      </c>
      <c r="F182" s="5" t="s">
        <v>65</v>
      </c>
      <c r="G182" s="6" t="n">
        <f aca="false">MAX(0,ROUND((TIMEVALUE(F182)-TIMEVALUE(E182))*1440,0)-10)</f>
        <v>0</v>
      </c>
      <c r="H182" s="5" t="str">
        <f aca="false">IF(G182=0,"On Time","LATE ARRIVAL - "&amp;G182&amp;" min")</f>
        <v>On Time</v>
      </c>
    </row>
    <row r="183" customFormat="false" ht="15" hidden="false" customHeight="false" outlineLevel="0" collapsed="false">
      <c r="A183" s="4" t="s">
        <v>88</v>
      </c>
      <c r="B183" s="4" t="s">
        <v>89</v>
      </c>
      <c r="C183" s="4" t="s">
        <v>69</v>
      </c>
      <c r="D183" s="5" t="s">
        <v>18</v>
      </c>
      <c r="E183" s="5" t="s">
        <v>14</v>
      </c>
      <c r="F183" s="5" t="s">
        <v>70</v>
      </c>
      <c r="G183" s="6" t="n">
        <f aca="false">MAX(0,ROUND((TIMEVALUE(F183)-TIMEVALUE(E183))*1440,0)-10)</f>
        <v>8</v>
      </c>
      <c r="H183" s="5" t="str">
        <f aca="false">IF(G183=0,"On Time","LATE ARRIVAL - "&amp;G183&amp;" min")</f>
        <v>LATE ARRIVAL - 8 min</v>
      </c>
    </row>
    <row r="184" customFormat="false" ht="15" hidden="false" customHeight="false" outlineLevel="0" collapsed="false">
      <c r="A184" s="4" t="s">
        <v>88</v>
      </c>
      <c r="B184" s="4" t="s">
        <v>89</v>
      </c>
      <c r="C184" s="4" t="s">
        <v>69</v>
      </c>
      <c r="D184" s="5" t="s">
        <v>20</v>
      </c>
      <c r="E184" s="5" t="s">
        <v>14</v>
      </c>
      <c r="F184" s="5" t="s">
        <v>46</v>
      </c>
      <c r="G184" s="6" t="n">
        <f aca="false">MAX(0,ROUND((TIMEVALUE(F184)-TIMEVALUE(E184))*1440,0)-10)</f>
        <v>0</v>
      </c>
      <c r="H184" s="5" t="str">
        <f aca="false">IF(G184=0,"On Time","LATE ARRIVAL - "&amp;G184&amp;" min")</f>
        <v>On Time</v>
      </c>
    </row>
    <row r="185" customFormat="false" ht="15" hidden="false" customHeight="false" outlineLevel="0" collapsed="false">
      <c r="A185" s="4" t="s">
        <v>88</v>
      </c>
      <c r="B185" s="4" t="s">
        <v>89</v>
      </c>
      <c r="C185" s="4" t="s">
        <v>69</v>
      </c>
      <c r="D185" s="5" t="s">
        <v>21</v>
      </c>
      <c r="E185" s="5" t="s">
        <v>14</v>
      </c>
      <c r="F185" s="5" t="s">
        <v>64</v>
      </c>
      <c r="G185" s="6" t="n">
        <f aca="false">MAX(0,ROUND((TIMEVALUE(F185)-TIMEVALUE(E185))*1440,0)-10)</f>
        <v>0</v>
      </c>
      <c r="H185" s="5" t="str">
        <f aca="false">IF(G185=0,"On Time","LATE ARRIVAL - "&amp;G185&amp;" min")</f>
        <v>On Time</v>
      </c>
    </row>
    <row r="186" customFormat="false" ht="15" hidden="false" customHeight="false" outlineLevel="0" collapsed="false">
      <c r="A186" s="4" t="s">
        <v>88</v>
      </c>
      <c r="B186" s="4" t="s">
        <v>89</v>
      </c>
      <c r="C186" s="4" t="s">
        <v>69</v>
      </c>
      <c r="D186" s="5" t="s">
        <v>23</v>
      </c>
      <c r="E186" s="5" t="s">
        <v>14</v>
      </c>
      <c r="F186" s="5" t="s">
        <v>24</v>
      </c>
      <c r="G186" s="6" t="n">
        <f aca="false">MAX(0,ROUND((TIMEVALUE(F186)-TIMEVALUE(E186))*1440,0)-10)</f>
        <v>0</v>
      </c>
      <c r="H186" s="5" t="str">
        <f aca="false">IF(G186=0,"On Time","LATE ARRIVAL - "&amp;G186&amp;" min")</f>
        <v>On Time</v>
      </c>
    </row>
    <row r="187" customFormat="false" ht="15" hidden="false" customHeight="false" outlineLevel="0" collapsed="false">
      <c r="A187" s="4" t="s">
        <v>88</v>
      </c>
      <c r="B187" s="4" t="s">
        <v>89</v>
      </c>
      <c r="C187" s="4" t="s">
        <v>69</v>
      </c>
      <c r="D187" s="5" t="s">
        <v>25</v>
      </c>
      <c r="E187" s="5" t="s">
        <v>14</v>
      </c>
      <c r="F187" s="5" t="s">
        <v>24</v>
      </c>
      <c r="G187" s="6" t="n">
        <f aca="false">MAX(0,ROUND((TIMEVALUE(F187)-TIMEVALUE(E187))*1440,0)-10)</f>
        <v>0</v>
      </c>
      <c r="H187" s="5" t="str">
        <f aca="false">IF(G187=0,"On Time","LATE ARRIVAL - "&amp;G187&amp;" min")</f>
        <v>On Time</v>
      </c>
    </row>
    <row r="188" customFormat="false" ht="15" hidden="false" customHeight="false" outlineLevel="0" collapsed="false">
      <c r="A188" s="4" t="s">
        <v>88</v>
      </c>
      <c r="B188" s="4" t="s">
        <v>89</v>
      </c>
      <c r="C188" s="4" t="s">
        <v>69</v>
      </c>
      <c r="D188" s="5" t="s">
        <v>27</v>
      </c>
      <c r="E188" s="5" t="s">
        <v>14</v>
      </c>
      <c r="F188" s="5" t="s">
        <v>41</v>
      </c>
      <c r="G188" s="6" t="n">
        <f aca="false">MAX(0,ROUND((TIMEVALUE(F188)-TIMEVALUE(E188))*1440,0)-10)</f>
        <v>0</v>
      </c>
      <c r="H188" s="5" t="str">
        <f aca="false">IF(G188=0,"On Time","LATE ARRIVAL - "&amp;G188&amp;" min")</f>
        <v>On Time</v>
      </c>
    </row>
    <row r="189" customFormat="false" ht="15" hidden="false" customHeight="false" outlineLevel="0" collapsed="false">
      <c r="A189" s="4" t="s">
        <v>88</v>
      </c>
      <c r="B189" s="4" t="s">
        <v>89</v>
      </c>
      <c r="C189" s="4" t="s">
        <v>69</v>
      </c>
      <c r="D189" s="5" t="s">
        <v>29</v>
      </c>
      <c r="E189" s="5" t="s">
        <v>14</v>
      </c>
      <c r="F189" s="5" t="s">
        <v>87</v>
      </c>
      <c r="G189" s="6" t="n">
        <f aca="false">MAX(0,ROUND((TIMEVALUE(F189)-TIMEVALUE(E189))*1440,0)-10)</f>
        <v>0</v>
      </c>
      <c r="H189" s="5" t="str">
        <f aca="false">IF(G189=0,"On Time","LATE ARRIVAL - "&amp;G189&amp;" min")</f>
        <v>On Time</v>
      </c>
    </row>
    <row r="190" customFormat="false" ht="15" hidden="false" customHeight="false" outlineLevel="0" collapsed="false">
      <c r="A190" s="4" t="s">
        <v>88</v>
      </c>
      <c r="B190" s="4" t="s">
        <v>89</v>
      </c>
      <c r="C190" s="4" t="s">
        <v>69</v>
      </c>
      <c r="D190" s="5" t="s">
        <v>30</v>
      </c>
      <c r="E190" s="5" t="s">
        <v>14</v>
      </c>
      <c r="F190" s="5" t="s">
        <v>58</v>
      </c>
      <c r="G190" s="6" t="n">
        <f aca="false">MAX(0,ROUND((TIMEVALUE(F190)-TIMEVALUE(E190))*1440,0)-10)</f>
        <v>0</v>
      </c>
      <c r="H190" s="5" t="str">
        <f aca="false">IF(G190=0,"On Time","LATE ARRIVAL - "&amp;G190&amp;" min")</f>
        <v>On Time</v>
      </c>
    </row>
    <row r="191" customFormat="false" ht="15" hidden="false" customHeight="false" outlineLevel="0" collapsed="false">
      <c r="A191" s="4" t="s">
        <v>88</v>
      </c>
      <c r="B191" s="4" t="s">
        <v>89</v>
      </c>
      <c r="C191" s="4" t="s">
        <v>69</v>
      </c>
      <c r="D191" s="5" t="s">
        <v>32</v>
      </c>
      <c r="E191" s="5" t="s">
        <v>14</v>
      </c>
      <c r="F191" s="5" t="s">
        <v>63</v>
      </c>
      <c r="G191" s="6" t="n">
        <f aca="false">MAX(0,ROUND((TIMEVALUE(F191)-TIMEVALUE(E191))*1440,0)-10)</f>
        <v>0</v>
      </c>
      <c r="H191" s="5" t="str">
        <f aca="false">IF(G191=0,"On Time","LATE ARRIVAL - "&amp;G191&amp;" min")</f>
        <v>On Time</v>
      </c>
    </row>
    <row r="192" customFormat="false" ht="15" hidden="false" customHeight="false" outlineLevel="0" collapsed="false">
      <c r="A192" s="4" t="s">
        <v>88</v>
      </c>
      <c r="B192" s="4" t="s">
        <v>89</v>
      </c>
      <c r="C192" s="4" t="s">
        <v>69</v>
      </c>
      <c r="D192" s="5" t="s">
        <v>33</v>
      </c>
      <c r="E192" s="5" t="s">
        <v>14</v>
      </c>
      <c r="F192" s="5" t="s">
        <v>19</v>
      </c>
      <c r="G192" s="6" t="n">
        <f aca="false">MAX(0,ROUND((TIMEVALUE(F192)-TIMEVALUE(E192))*1440,0)-10)</f>
        <v>0</v>
      </c>
      <c r="H192" s="5" t="str">
        <f aca="false">IF(G192=0,"On Time","LATE ARRIVAL - "&amp;G192&amp;" min")</f>
        <v>On Time</v>
      </c>
    </row>
    <row r="193" customFormat="false" ht="15" hidden="false" customHeight="false" outlineLevel="0" collapsed="false">
      <c r="A193" s="4" t="s">
        <v>88</v>
      </c>
      <c r="B193" s="4" t="s">
        <v>89</v>
      </c>
      <c r="C193" s="4" t="s">
        <v>69</v>
      </c>
      <c r="D193" s="5" t="s">
        <v>35</v>
      </c>
      <c r="E193" s="5" t="s">
        <v>14</v>
      </c>
      <c r="F193" s="5" t="s">
        <v>17</v>
      </c>
      <c r="G193" s="6" t="n">
        <f aca="false">MAX(0,ROUND((TIMEVALUE(F193)-TIMEVALUE(E193))*1440,0)-10)</f>
        <v>0</v>
      </c>
      <c r="H193" s="5" t="str">
        <f aca="false">IF(G193=0,"On Time","LATE ARRIVAL - "&amp;G193&amp;" min")</f>
        <v>On Time</v>
      </c>
    </row>
    <row r="194" customFormat="false" ht="15" hidden="false" customHeight="false" outlineLevel="0" collapsed="false">
      <c r="A194" s="4" t="s">
        <v>88</v>
      </c>
      <c r="B194" s="4" t="s">
        <v>89</v>
      </c>
      <c r="C194" s="4" t="s">
        <v>69</v>
      </c>
      <c r="D194" s="5" t="s">
        <v>36</v>
      </c>
      <c r="E194" s="5" t="s">
        <v>14</v>
      </c>
      <c r="F194" s="5" t="s">
        <v>37</v>
      </c>
      <c r="G194" s="6" t="n">
        <f aca="false">MAX(0,ROUND((TIMEVALUE(F194)-TIMEVALUE(E194))*1440,0)-10)</f>
        <v>0</v>
      </c>
      <c r="H194" s="5" t="str">
        <f aca="false">IF(G194=0,"On Time","LATE ARRIVAL - "&amp;G194&amp;" min")</f>
        <v>On Time</v>
      </c>
    </row>
    <row r="195" customFormat="false" ht="15" hidden="false" customHeight="false" outlineLevel="0" collapsed="false">
      <c r="A195" s="4" t="s">
        <v>88</v>
      </c>
      <c r="B195" s="4" t="s">
        <v>89</v>
      </c>
      <c r="C195" s="4" t="s">
        <v>69</v>
      </c>
      <c r="D195" s="5" t="s">
        <v>38</v>
      </c>
      <c r="E195" s="5" t="s">
        <v>14</v>
      </c>
      <c r="F195" s="5" t="s">
        <v>15</v>
      </c>
      <c r="G195" s="6" t="n">
        <f aca="false">MAX(0,ROUND((TIMEVALUE(F195)-TIMEVALUE(E195))*1440,0)-10)</f>
        <v>0</v>
      </c>
      <c r="H195" s="5" t="str">
        <f aca="false">IF(G195=0,"On Time","LATE ARRIVAL - "&amp;G195&amp;" min")</f>
        <v>On Time</v>
      </c>
    </row>
    <row r="196" customFormat="false" ht="15" hidden="false" customHeight="false" outlineLevel="0" collapsed="false">
      <c r="A196" s="4" t="s">
        <v>88</v>
      </c>
      <c r="B196" s="4" t="s">
        <v>89</v>
      </c>
      <c r="C196" s="4" t="s">
        <v>69</v>
      </c>
      <c r="D196" s="5" t="s">
        <v>40</v>
      </c>
      <c r="E196" s="5" t="s">
        <v>14</v>
      </c>
      <c r="F196" s="5" t="s">
        <v>39</v>
      </c>
      <c r="G196" s="6" t="n">
        <f aca="false">MAX(0,ROUND((TIMEVALUE(F196)-TIMEVALUE(E196))*1440,0)-10)</f>
        <v>0</v>
      </c>
      <c r="H196" s="5" t="str">
        <f aca="false">IF(G196=0,"On Time","LATE ARRIVAL - "&amp;G196&amp;" min")</f>
        <v>On Time</v>
      </c>
    </row>
    <row r="197" customFormat="false" ht="15" hidden="false" customHeight="false" outlineLevel="0" collapsed="false">
      <c r="A197" s="4" t="s">
        <v>88</v>
      </c>
      <c r="B197" s="4" t="s">
        <v>89</v>
      </c>
      <c r="C197" s="4" t="s">
        <v>69</v>
      </c>
      <c r="D197" s="5" t="s">
        <v>42</v>
      </c>
      <c r="E197" s="5" t="s">
        <v>14</v>
      </c>
      <c r="F197" s="5" t="s">
        <v>63</v>
      </c>
      <c r="G197" s="6" t="n">
        <f aca="false">MAX(0,ROUND((TIMEVALUE(F197)-TIMEVALUE(E197))*1440,0)-10)</f>
        <v>0</v>
      </c>
      <c r="H197" s="5" t="str">
        <f aca="false">IF(G197=0,"On Time","LATE ARRIVAL - "&amp;G197&amp;" min")</f>
        <v>On Time</v>
      </c>
    </row>
    <row r="198" customFormat="false" ht="15" hidden="false" customHeight="false" outlineLevel="0" collapsed="false">
      <c r="A198" s="4" t="s">
        <v>88</v>
      </c>
      <c r="B198" s="4" t="s">
        <v>89</v>
      </c>
      <c r="C198" s="4" t="s">
        <v>69</v>
      </c>
      <c r="D198" s="5" t="s">
        <v>43</v>
      </c>
      <c r="E198" s="5" t="s">
        <v>14</v>
      </c>
      <c r="F198" s="5" t="s">
        <v>19</v>
      </c>
      <c r="G198" s="6" t="n">
        <f aca="false">MAX(0,ROUND((TIMEVALUE(F198)-TIMEVALUE(E198))*1440,0)-10)</f>
        <v>0</v>
      </c>
      <c r="H198" s="5" t="str">
        <f aca="false">IF(G198=0,"On Time","LATE ARRIVAL - "&amp;G198&amp;" min")</f>
        <v>On Time</v>
      </c>
    </row>
    <row r="199" customFormat="false" ht="15" hidden="false" customHeight="false" outlineLevel="0" collapsed="false">
      <c r="A199" s="4" t="s">
        <v>88</v>
      </c>
      <c r="B199" s="4" t="s">
        <v>89</v>
      </c>
      <c r="C199" s="4" t="s">
        <v>69</v>
      </c>
      <c r="D199" s="5" t="s">
        <v>45</v>
      </c>
      <c r="E199" s="5" t="s">
        <v>14</v>
      </c>
      <c r="F199" s="5" t="s">
        <v>34</v>
      </c>
      <c r="G199" s="6" t="n">
        <f aca="false">MAX(0,ROUND((TIMEVALUE(F199)-TIMEVALUE(E199))*1440,0)-10)</f>
        <v>0</v>
      </c>
      <c r="H199" s="5" t="str">
        <f aca="false">IF(G199=0,"On Time","LATE ARRIVAL - "&amp;G199&amp;" min")</f>
        <v>On Time</v>
      </c>
    </row>
    <row r="200" customFormat="false" ht="15" hidden="false" customHeight="false" outlineLevel="0" collapsed="false">
      <c r="A200" s="4" t="s">
        <v>88</v>
      </c>
      <c r="B200" s="4" t="s">
        <v>89</v>
      </c>
      <c r="C200" s="4" t="s">
        <v>69</v>
      </c>
      <c r="D200" s="5" t="s">
        <v>47</v>
      </c>
      <c r="E200" s="5" t="s">
        <v>14</v>
      </c>
      <c r="F200" s="5" t="s">
        <v>31</v>
      </c>
      <c r="G200" s="6" t="n">
        <f aca="false">MAX(0,ROUND((TIMEVALUE(F200)-TIMEVALUE(E200))*1440,0)-10)</f>
        <v>0</v>
      </c>
      <c r="H200" s="5" t="str">
        <f aca="false">IF(G200=0,"On Time","LATE ARRIVAL - "&amp;G200&amp;" min")</f>
        <v>On Time</v>
      </c>
    </row>
    <row r="201" customFormat="false" ht="15" hidden="false" customHeight="false" outlineLevel="0" collapsed="false">
      <c r="A201" s="4" t="s">
        <v>88</v>
      </c>
      <c r="B201" s="4" t="s">
        <v>89</v>
      </c>
      <c r="C201" s="4" t="s">
        <v>69</v>
      </c>
      <c r="D201" s="5" t="s">
        <v>48</v>
      </c>
      <c r="E201" s="5" t="s">
        <v>14</v>
      </c>
      <c r="F201" s="5" t="s">
        <v>24</v>
      </c>
      <c r="G201" s="6" t="n">
        <f aca="false">MAX(0,ROUND((TIMEVALUE(F201)-TIMEVALUE(E201))*1440,0)-10)</f>
        <v>0</v>
      </c>
      <c r="H201" s="5" t="str">
        <f aca="false">IF(G201=0,"On Time","LATE ARRIVAL - "&amp;G201&amp;" min")</f>
        <v>On Time</v>
      </c>
    </row>
    <row r="202" customFormat="false" ht="15" hidden="false" customHeight="false" outlineLevel="0" collapsed="false">
      <c r="A202" s="4" t="s">
        <v>88</v>
      </c>
      <c r="B202" s="4" t="s">
        <v>89</v>
      </c>
      <c r="C202" s="4" t="s">
        <v>69</v>
      </c>
      <c r="D202" s="5" t="s">
        <v>50</v>
      </c>
      <c r="E202" s="5" t="s">
        <v>14</v>
      </c>
      <c r="F202" s="5" t="s">
        <v>17</v>
      </c>
      <c r="G202" s="6" t="n">
        <f aca="false">MAX(0,ROUND((TIMEVALUE(F202)-TIMEVALUE(E202))*1440,0)-10)</f>
        <v>0</v>
      </c>
      <c r="H202" s="5" t="str">
        <f aca="false">IF(G202=0,"On Time","LATE ARRIVAL - "&amp;G202&amp;" min")</f>
        <v>On Time</v>
      </c>
    </row>
    <row r="203" customFormat="false" ht="15" hidden="false" customHeight="false" outlineLevel="0" collapsed="false">
      <c r="A203" s="4" t="s">
        <v>90</v>
      </c>
      <c r="B203" s="4" t="s">
        <v>91</v>
      </c>
      <c r="C203" s="4" t="s">
        <v>79</v>
      </c>
      <c r="D203" s="5" t="s">
        <v>13</v>
      </c>
      <c r="E203" s="5" t="s">
        <v>14</v>
      </c>
      <c r="F203" s="5" t="s">
        <v>66</v>
      </c>
      <c r="G203" s="6" t="n">
        <f aca="false">MAX(0,ROUND((TIMEVALUE(F203)-TIMEVALUE(E203))*1440,0)-10)</f>
        <v>0</v>
      </c>
      <c r="H203" s="5" t="str">
        <f aca="false">IF(G203=0,"On Time","LATE ARRIVAL - "&amp;G203&amp;" min")</f>
        <v>On Time</v>
      </c>
    </row>
    <row r="204" customFormat="false" ht="15" hidden="false" customHeight="false" outlineLevel="0" collapsed="false">
      <c r="A204" s="4" t="s">
        <v>90</v>
      </c>
      <c r="B204" s="4" t="s">
        <v>91</v>
      </c>
      <c r="C204" s="4" t="s">
        <v>79</v>
      </c>
      <c r="D204" s="5" t="s">
        <v>16</v>
      </c>
      <c r="E204" s="5" t="s">
        <v>14</v>
      </c>
      <c r="F204" s="5" t="s">
        <v>17</v>
      </c>
      <c r="G204" s="6" t="n">
        <f aca="false">MAX(0,ROUND((TIMEVALUE(F204)-TIMEVALUE(E204))*1440,0)-10)</f>
        <v>0</v>
      </c>
      <c r="H204" s="5" t="str">
        <f aca="false">IF(G204=0,"On Time","LATE ARRIVAL - "&amp;G204&amp;" min")</f>
        <v>On Time</v>
      </c>
    </row>
    <row r="205" customFormat="false" ht="15" hidden="false" customHeight="false" outlineLevel="0" collapsed="false">
      <c r="A205" s="4" t="s">
        <v>90</v>
      </c>
      <c r="B205" s="4" t="s">
        <v>91</v>
      </c>
      <c r="C205" s="4" t="s">
        <v>79</v>
      </c>
      <c r="D205" s="5" t="s">
        <v>18</v>
      </c>
      <c r="E205" s="5" t="s">
        <v>14</v>
      </c>
      <c r="F205" s="5" t="s">
        <v>87</v>
      </c>
      <c r="G205" s="6" t="n">
        <f aca="false">MAX(0,ROUND((TIMEVALUE(F205)-TIMEVALUE(E205))*1440,0)-10)</f>
        <v>0</v>
      </c>
      <c r="H205" s="5" t="str">
        <f aca="false">IF(G205=0,"On Time","LATE ARRIVAL - "&amp;G205&amp;" min")</f>
        <v>On Time</v>
      </c>
    </row>
    <row r="206" customFormat="false" ht="15" hidden="false" customHeight="false" outlineLevel="0" collapsed="false">
      <c r="A206" s="4" t="s">
        <v>90</v>
      </c>
      <c r="B206" s="4" t="s">
        <v>91</v>
      </c>
      <c r="C206" s="4" t="s">
        <v>79</v>
      </c>
      <c r="D206" s="5" t="s">
        <v>20</v>
      </c>
      <c r="E206" s="5" t="s">
        <v>14</v>
      </c>
      <c r="F206" s="5" t="s">
        <v>39</v>
      </c>
      <c r="G206" s="6" t="n">
        <f aca="false">MAX(0,ROUND((TIMEVALUE(F206)-TIMEVALUE(E206))*1440,0)-10)</f>
        <v>0</v>
      </c>
      <c r="H206" s="5" t="str">
        <f aca="false">IF(G206=0,"On Time","LATE ARRIVAL - "&amp;G206&amp;" min")</f>
        <v>On Time</v>
      </c>
    </row>
    <row r="207" customFormat="false" ht="15" hidden="false" customHeight="false" outlineLevel="0" collapsed="false">
      <c r="A207" s="4" t="s">
        <v>90</v>
      </c>
      <c r="B207" s="4" t="s">
        <v>91</v>
      </c>
      <c r="C207" s="4" t="s">
        <v>79</v>
      </c>
      <c r="D207" s="5" t="s">
        <v>21</v>
      </c>
      <c r="E207" s="5" t="s">
        <v>14</v>
      </c>
      <c r="F207" s="5" t="s">
        <v>22</v>
      </c>
      <c r="G207" s="6" t="n">
        <f aca="false">MAX(0,ROUND((TIMEVALUE(F207)-TIMEVALUE(E207))*1440,0)-10)</f>
        <v>0</v>
      </c>
      <c r="H207" s="5" t="str">
        <f aca="false">IF(G207=0,"On Time","LATE ARRIVAL - "&amp;G207&amp;" min")</f>
        <v>On Time</v>
      </c>
    </row>
    <row r="208" customFormat="false" ht="15" hidden="false" customHeight="false" outlineLevel="0" collapsed="false">
      <c r="A208" s="4" t="s">
        <v>90</v>
      </c>
      <c r="B208" s="4" t="s">
        <v>91</v>
      </c>
      <c r="C208" s="4" t="s">
        <v>79</v>
      </c>
      <c r="D208" s="5" t="s">
        <v>23</v>
      </c>
      <c r="E208" s="5" t="s">
        <v>14</v>
      </c>
      <c r="F208" s="5" t="s">
        <v>34</v>
      </c>
      <c r="G208" s="6" t="n">
        <f aca="false">MAX(0,ROUND((TIMEVALUE(F208)-TIMEVALUE(E208))*1440,0)-10)</f>
        <v>0</v>
      </c>
      <c r="H208" s="5" t="str">
        <f aca="false">IF(G208=0,"On Time","LATE ARRIVAL - "&amp;G208&amp;" min")</f>
        <v>On Time</v>
      </c>
    </row>
    <row r="209" customFormat="false" ht="15" hidden="false" customHeight="false" outlineLevel="0" collapsed="false">
      <c r="A209" s="4" t="s">
        <v>90</v>
      </c>
      <c r="B209" s="4" t="s">
        <v>91</v>
      </c>
      <c r="C209" s="4" t="s">
        <v>79</v>
      </c>
      <c r="D209" s="5" t="s">
        <v>25</v>
      </c>
      <c r="E209" s="5" t="s">
        <v>14</v>
      </c>
      <c r="F209" s="5" t="s">
        <v>73</v>
      </c>
      <c r="G209" s="6" t="n">
        <f aca="false">MAX(0,ROUND((TIMEVALUE(F209)-TIMEVALUE(E209))*1440,0)-10)</f>
        <v>0</v>
      </c>
      <c r="H209" s="5" t="str">
        <f aca="false">IF(G209=0,"On Time","LATE ARRIVAL - "&amp;G209&amp;" min")</f>
        <v>On Time</v>
      </c>
    </row>
    <row r="210" customFormat="false" ht="15" hidden="false" customHeight="false" outlineLevel="0" collapsed="false">
      <c r="A210" s="4" t="s">
        <v>90</v>
      </c>
      <c r="B210" s="4" t="s">
        <v>91</v>
      </c>
      <c r="C210" s="4" t="s">
        <v>79</v>
      </c>
      <c r="D210" s="5" t="s">
        <v>27</v>
      </c>
      <c r="E210" s="5" t="s">
        <v>14</v>
      </c>
      <c r="F210" s="5" t="s">
        <v>49</v>
      </c>
      <c r="G210" s="6" t="n">
        <f aca="false">MAX(0,ROUND((TIMEVALUE(F210)-TIMEVALUE(E210))*1440,0)-10)</f>
        <v>0</v>
      </c>
      <c r="H210" s="5" t="str">
        <f aca="false">IF(G210=0,"On Time","LATE ARRIVAL - "&amp;G210&amp;" min")</f>
        <v>On Time</v>
      </c>
    </row>
    <row r="211" customFormat="false" ht="15" hidden="false" customHeight="false" outlineLevel="0" collapsed="false">
      <c r="A211" s="4" t="s">
        <v>90</v>
      </c>
      <c r="B211" s="4" t="s">
        <v>91</v>
      </c>
      <c r="C211" s="4" t="s">
        <v>79</v>
      </c>
      <c r="D211" s="5" t="s">
        <v>29</v>
      </c>
      <c r="E211" s="5" t="s">
        <v>14</v>
      </c>
      <c r="F211" s="5" t="s">
        <v>15</v>
      </c>
      <c r="G211" s="6" t="n">
        <f aca="false">MAX(0,ROUND((TIMEVALUE(F211)-TIMEVALUE(E211))*1440,0)-10)</f>
        <v>0</v>
      </c>
      <c r="H211" s="5" t="str">
        <f aca="false">IF(G211=0,"On Time","LATE ARRIVAL - "&amp;G211&amp;" min")</f>
        <v>On Time</v>
      </c>
    </row>
    <row r="212" customFormat="false" ht="15" hidden="false" customHeight="false" outlineLevel="0" collapsed="false">
      <c r="A212" s="4" t="s">
        <v>90</v>
      </c>
      <c r="B212" s="4" t="s">
        <v>91</v>
      </c>
      <c r="C212" s="4" t="s">
        <v>79</v>
      </c>
      <c r="D212" s="5" t="s">
        <v>30</v>
      </c>
      <c r="E212" s="5" t="s">
        <v>14</v>
      </c>
      <c r="F212" s="5" t="s">
        <v>34</v>
      </c>
      <c r="G212" s="6" t="n">
        <f aca="false">MAX(0,ROUND((TIMEVALUE(F212)-TIMEVALUE(E212))*1440,0)-10)</f>
        <v>0</v>
      </c>
      <c r="H212" s="5" t="str">
        <f aca="false">IF(G212=0,"On Time","LATE ARRIVAL - "&amp;G212&amp;" min")</f>
        <v>On Time</v>
      </c>
    </row>
    <row r="213" customFormat="false" ht="15" hidden="false" customHeight="false" outlineLevel="0" collapsed="false">
      <c r="A213" s="4" t="s">
        <v>90</v>
      </c>
      <c r="B213" s="4" t="s">
        <v>91</v>
      </c>
      <c r="C213" s="4" t="s">
        <v>79</v>
      </c>
      <c r="D213" s="5" t="s">
        <v>32</v>
      </c>
      <c r="E213" s="5" t="s">
        <v>14</v>
      </c>
      <c r="F213" s="5" t="s">
        <v>34</v>
      </c>
      <c r="G213" s="6" t="n">
        <f aca="false">MAX(0,ROUND((TIMEVALUE(F213)-TIMEVALUE(E213))*1440,0)-10)</f>
        <v>0</v>
      </c>
      <c r="H213" s="5" t="str">
        <f aca="false">IF(G213=0,"On Time","LATE ARRIVAL - "&amp;G213&amp;" min")</f>
        <v>On Time</v>
      </c>
    </row>
    <row r="214" customFormat="false" ht="15" hidden="false" customHeight="false" outlineLevel="0" collapsed="false">
      <c r="A214" s="4" t="s">
        <v>90</v>
      </c>
      <c r="B214" s="4" t="s">
        <v>91</v>
      </c>
      <c r="C214" s="4" t="s">
        <v>79</v>
      </c>
      <c r="D214" s="5" t="s">
        <v>33</v>
      </c>
      <c r="E214" s="5" t="s">
        <v>14</v>
      </c>
      <c r="F214" s="5" t="s">
        <v>76</v>
      </c>
      <c r="G214" s="6" t="n">
        <f aca="false">MAX(0,ROUND((TIMEVALUE(F214)-TIMEVALUE(E214))*1440,0)-10)</f>
        <v>35</v>
      </c>
      <c r="H214" s="5" t="str">
        <f aca="false">IF(G214=0,"On Time","LATE ARRIVAL - "&amp;G214&amp;" min")</f>
        <v>LATE ARRIVAL - 35 min</v>
      </c>
    </row>
    <row r="215" customFormat="false" ht="15" hidden="false" customHeight="false" outlineLevel="0" collapsed="false">
      <c r="A215" s="4" t="s">
        <v>90</v>
      </c>
      <c r="B215" s="4" t="s">
        <v>91</v>
      </c>
      <c r="C215" s="4" t="s">
        <v>79</v>
      </c>
      <c r="D215" s="5" t="s">
        <v>35</v>
      </c>
      <c r="E215" s="5" t="s">
        <v>14</v>
      </c>
      <c r="F215" s="5" t="s">
        <v>19</v>
      </c>
      <c r="G215" s="6" t="n">
        <f aca="false">MAX(0,ROUND((TIMEVALUE(F215)-TIMEVALUE(E215))*1440,0)-10)</f>
        <v>0</v>
      </c>
      <c r="H215" s="5" t="str">
        <f aca="false">IF(G215=0,"On Time","LATE ARRIVAL - "&amp;G215&amp;" min")</f>
        <v>On Time</v>
      </c>
    </row>
    <row r="216" customFormat="false" ht="15" hidden="false" customHeight="false" outlineLevel="0" collapsed="false">
      <c r="A216" s="4" t="s">
        <v>90</v>
      </c>
      <c r="B216" s="4" t="s">
        <v>91</v>
      </c>
      <c r="C216" s="4" t="s">
        <v>79</v>
      </c>
      <c r="D216" s="5" t="s">
        <v>36</v>
      </c>
      <c r="E216" s="5" t="s">
        <v>14</v>
      </c>
      <c r="F216" s="5" t="s">
        <v>63</v>
      </c>
      <c r="G216" s="6" t="n">
        <f aca="false">MAX(0,ROUND((TIMEVALUE(F216)-TIMEVALUE(E216))*1440,0)-10)</f>
        <v>0</v>
      </c>
      <c r="H216" s="5" t="str">
        <f aca="false">IF(G216=0,"On Time","LATE ARRIVAL - "&amp;G216&amp;" min")</f>
        <v>On Time</v>
      </c>
    </row>
    <row r="217" customFormat="false" ht="15" hidden="false" customHeight="false" outlineLevel="0" collapsed="false">
      <c r="A217" s="4" t="s">
        <v>90</v>
      </c>
      <c r="B217" s="4" t="s">
        <v>91</v>
      </c>
      <c r="C217" s="4" t="s">
        <v>79</v>
      </c>
      <c r="D217" s="5" t="s">
        <v>38</v>
      </c>
      <c r="E217" s="5" t="s">
        <v>14</v>
      </c>
      <c r="F217" s="5" t="s">
        <v>73</v>
      </c>
      <c r="G217" s="6" t="n">
        <f aca="false">MAX(0,ROUND((TIMEVALUE(F217)-TIMEVALUE(E217))*1440,0)-10)</f>
        <v>0</v>
      </c>
      <c r="H217" s="5" t="str">
        <f aca="false">IF(G217=0,"On Time","LATE ARRIVAL - "&amp;G217&amp;" min")</f>
        <v>On Time</v>
      </c>
    </row>
    <row r="218" customFormat="false" ht="15" hidden="false" customHeight="false" outlineLevel="0" collapsed="false">
      <c r="A218" s="4" t="s">
        <v>90</v>
      </c>
      <c r="B218" s="4" t="s">
        <v>91</v>
      </c>
      <c r="C218" s="4" t="s">
        <v>79</v>
      </c>
      <c r="D218" s="5" t="s">
        <v>40</v>
      </c>
      <c r="E218" s="5" t="s">
        <v>14</v>
      </c>
      <c r="F218" s="5" t="s">
        <v>62</v>
      </c>
      <c r="G218" s="6" t="n">
        <f aca="false">MAX(0,ROUND((TIMEVALUE(F218)-TIMEVALUE(E218))*1440,0)-10)</f>
        <v>0</v>
      </c>
      <c r="H218" s="5" t="str">
        <f aca="false">IF(G218=0,"On Time","LATE ARRIVAL - "&amp;G218&amp;" min")</f>
        <v>On Time</v>
      </c>
    </row>
    <row r="219" customFormat="false" ht="15" hidden="false" customHeight="false" outlineLevel="0" collapsed="false">
      <c r="A219" s="4" t="s">
        <v>90</v>
      </c>
      <c r="B219" s="4" t="s">
        <v>91</v>
      </c>
      <c r="C219" s="4" t="s">
        <v>79</v>
      </c>
      <c r="D219" s="5" t="s">
        <v>42</v>
      </c>
      <c r="E219" s="5" t="s">
        <v>14</v>
      </c>
      <c r="F219" s="5" t="s">
        <v>24</v>
      </c>
      <c r="G219" s="6" t="n">
        <f aca="false">MAX(0,ROUND((TIMEVALUE(F219)-TIMEVALUE(E219))*1440,0)-10)</f>
        <v>0</v>
      </c>
      <c r="H219" s="5" t="str">
        <f aca="false">IF(G219=0,"On Time","LATE ARRIVAL - "&amp;G219&amp;" min")</f>
        <v>On Time</v>
      </c>
    </row>
    <row r="220" customFormat="false" ht="15" hidden="false" customHeight="false" outlineLevel="0" collapsed="false">
      <c r="A220" s="4" t="s">
        <v>90</v>
      </c>
      <c r="B220" s="4" t="s">
        <v>91</v>
      </c>
      <c r="C220" s="4" t="s">
        <v>79</v>
      </c>
      <c r="D220" s="5" t="s">
        <v>43</v>
      </c>
      <c r="E220" s="5" t="s">
        <v>14</v>
      </c>
      <c r="F220" s="5" t="s">
        <v>15</v>
      </c>
      <c r="G220" s="6" t="n">
        <f aca="false">MAX(0,ROUND((TIMEVALUE(F220)-TIMEVALUE(E220))*1440,0)-10)</f>
        <v>0</v>
      </c>
      <c r="H220" s="5" t="str">
        <f aca="false">IF(G220=0,"On Time","LATE ARRIVAL - "&amp;G220&amp;" min")</f>
        <v>On Time</v>
      </c>
    </row>
    <row r="221" customFormat="false" ht="15" hidden="false" customHeight="false" outlineLevel="0" collapsed="false">
      <c r="A221" s="4" t="s">
        <v>90</v>
      </c>
      <c r="B221" s="4" t="s">
        <v>91</v>
      </c>
      <c r="C221" s="4" t="s">
        <v>79</v>
      </c>
      <c r="D221" s="5" t="s">
        <v>45</v>
      </c>
      <c r="E221" s="5" t="s">
        <v>14</v>
      </c>
      <c r="F221" s="5" t="s">
        <v>49</v>
      </c>
      <c r="G221" s="6" t="n">
        <f aca="false">MAX(0,ROUND((TIMEVALUE(F221)-TIMEVALUE(E221))*1440,0)-10)</f>
        <v>0</v>
      </c>
      <c r="H221" s="5" t="str">
        <f aca="false">IF(G221=0,"On Time","LATE ARRIVAL - "&amp;G221&amp;" min")</f>
        <v>On Time</v>
      </c>
    </row>
    <row r="222" customFormat="false" ht="15" hidden="false" customHeight="false" outlineLevel="0" collapsed="false">
      <c r="A222" s="4" t="s">
        <v>90</v>
      </c>
      <c r="B222" s="4" t="s">
        <v>91</v>
      </c>
      <c r="C222" s="4" t="s">
        <v>79</v>
      </c>
      <c r="D222" s="5" t="s">
        <v>47</v>
      </c>
      <c r="E222" s="5" t="s">
        <v>14</v>
      </c>
      <c r="F222" s="5" t="s">
        <v>19</v>
      </c>
      <c r="G222" s="6" t="n">
        <f aca="false">MAX(0,ROUND((TIMEVALUE(F222)-TIMEVALUE(E222))*1440,0)-10)</f>
        <v>0</v>
      </c>
      <c r="H222" s="5" t="str">
        <f aca="false">IF(G222=0,"On Time","LATE ARRIVAL - "&amp;G222&amp;" min")</f>
        <v>On Time</v>
      </c>
    </row>
    <row r="223" customFormat="false" ht="15" hidden="false" customHeight="false" outlineLevel="0" collapsed="false">
      <c r="A223" s="4" t="s">
        <v>90</v>
      </c>
      <c r="B223" s="4" t="s">
        <v>91</v>
      </c>
      <c r="C223" s="4" t="s">
        <v>79</v>
      </c>
      <c r="D223" s="5" t="s">
        <v>48</v>
      </c>
      <c r="E223" s="5" t="s">
        <v>14</v>
      </c>
      <c r="F223" s="5" t="s">
        <v>41</v>
      </c>
      <c r="G223" s="6" t="n">
        <f aca="false">MAX(0,ROUND((TIMEVALUE(F223)-TIMEVALUE(E223))*1440,0)-10)</f>
        <v>0</v>
      </c>
      <c r="H223" s="5" t="str">
        <f aca="false">IF(G223=0,"On Time","LATE ARRIVAL - "&amp;G223&amp;" min")</f>
        <v>On Time</v>
      </c>
    </row>
    <row r="224" customFormat="false" ht="15" hidden="false" customHeight="false" outlineLevel="0" collapsed="false">
      <c r="A224" s="4" t="s">
        <v>90</v>
      </c>
      <c r="B224" s="4" t="s">
        <v>91</v>
      </c>
      <c r="C224" s="4" t="s">
        <v>79</v>
      </c>
      <c r="D224" s="5" t="s">
        <v>50</v>
      </c>
      <c r="E224" s="5" t="s">
        <v>14</v>
      </c>
      <c r="F224" s="5" t="s">
        <v>22</v>
      </c>
      <c r="G224" s="6" t="n">
        <f aca="false">MAX(0,ROUND((TIMEVALUE(F224)-TIMEVALUE(E224))*1440,0)-10)</f>
        <v>0</v>
      </c>
      <c r="H224" s="5" t="str">
        <f aca="false">IF(G224=0,"On Time","LATE ARRIVAL - "&amp;G224&amp;" min")</f>
        <v>On Time</v>
      </c>
    </row>
    <row r="225" customFormat="false" ht="15" hidden="false" customHeight="false" outlineLevel="0" collapsed="false">
      <c r="A225" s="4" t="s">
        <v>92</v>
      </c>
      <c r="B225" s="4" t="s">
        <v>93</v>
      </c>
      <c r="C225" s="4" t="s">
        <v>12</v>
      </c>
      <c r="D225" s="5" t="s">
        <v>13</v>
      </c>
      <c r="E225" s="5" t="s">
        <v>14</v>
      </c>
      <c r="F225" s="5" t="s">
        <v>39</v>
      </c>
      <c r="G225" s="6" t="n">
        <f aca="false">MAX(0,ROUND((TIMEVALUE(F225)-TIMEVALUE(E225))*1440,0)-10)</f>
        <v>0</v>
      </c>
      <c r="H225" s="5" t="str">
        <f aca="false">IF(G225=0,"On Time","LATE ARRIVAL - "&amp;G225&amp;" min")</f>
        <v>On Time</v>
      </c>
    </row>
    <row r="226" customFormat="false" ht="15" hidden="false" customHeight="false" outlineLevel="0" collapsed="false">
      <c r="A226" s="4" t="s">
        <v>92</v>
      </c>
      <c r="B226" s="4" t="s">
        <v>93</v>
      </c>
      <c r="C226" s="4" t="s">
        <v>12</v>
      </c>
      <c r="D226" s="5" t="s">
        <v>16</v>
      </c>
      <c r="E226" s="5" t="s">
        <v>14</v>
      </c>
      <c r="F226" s="5" t="s">
        <v>87</v>
      </c>
      <c r="G226" s="6" t="n">
        <f aca="false">MAX(0,ROUND((TIMEVALUE(F226)-TIMEVALUE(E226))*1440,0)-10)</f>
        <v>0</v>
      </c>
      <c r="H226" s="5" t="str">
        <f aca="false">IF(G226=0,"On Time","LATE ARRIVAL - "&amp;G226&amp;" min")</f>
        <v>On Time</v>
      </c>
    </row>
    <row r="227" customFormat="false" ht="15" hidden="false" customHeight="false" outlineLevel="0" collapsed="false">
      <c r="A227" s="4" t="s">
        <v>92</v>
      </c>
      <c r="B227" s="4" t="s">
        <v>93</v>
      </c>
      <c r="C227" s="4" t="s">
        <v>12</v>
      </c>
      <c r="D227" s="5" t="s">
        <v>18</v>
      </c>
      <c r="E227" s="5" t="s">
        <v>14</v>
      </c>
      <c r="F227" s="5" t="s">
        <v>19</v>
      </c>
      <c r="G227" s="6" t="n">
        <f aca="false">MAX(0,ROUND((TIMEVALUE(F227)-TIMEVALUE(E227))*1440,0)-10)</f>
        <v>0</v>
      </c>
      <c r="H227" s="5" t="str">
        <f aca="false">IF(G227=0,"On Time","LATE ARRIVAL - "&amp;G227&amp;" min")</f>
        <v>On Time</v>
      </c>
    </row>
    <row r="228" customFormat="false" ht="15" hidden="false" customHeight="false" outlineLevel="0" collapsed="false">
      <c r="A228" s="4" t="s">
        <v>92</v>
      </c>
      <c r="B228" s="4" t="s">
        <v>93</v>
      </c>
      <c r="C228" s="4" t="s">
        <v>12</v>
      </c>
      <c r="D228" s="5" t="s">
        <v>20</v>
      </c>
      <c r="E228" s="5" t="s">
        <v>14</v>
      </c>
      <c r="F228" s="5" t="s">
        <v>73</v>
      </c>
      <c r="G228" s="6" t="n">
        <f aca="false">MAX(0,ROUND((TIMEVALUE(F228)-TIMEVALUE(E228))*1440,0)-10)</f>
        <v>0</v>
      </c>
      <c r="H228" s="5" t="str">
        <f aca="false">IF(G228=0,"On Time","LATE ARRIVAL - "&amp;G228&amp;" min")</f>
        <v>On Time</v>
      </c>
    </row>
    <row r="229" customFormat="false" ht="15" hidden="false" customHeight="false" outlineLevel="0" collapsed="false">
      <c r="A229" s="4" t="s">
        <v>92</v>
      </c>
      <c r="B229" s="4" t="s">
        <v>93</v>
      </c>
      <c r="C229" s="4" t="s">
        <v>12</v>
      </c>
      <c r="D229" s="5" t="s">
        <v>21</v>
      </c>
      <c r="E229" s="5" t="s">
        <v>14</v>
      </c>
      <c r="F229" s="5" t="s">
        <v>63</v>
      </c>
      <c r="G229" s="6" t="n">
        <f aca="false">MAX(0,ROUND((TIMEVALUE(F229)-TIMEVALUE(E229))*1440,0)-10)</f>
        <v>0</v>
      </c>
      <c r="H229" s="5" t="str">
        <f aca="false">IF(G229=0,"On Time","LATE ARRIVAL - "&amp;G229&amp;" min")</f>
        <v>On Time</v>
      </c>
    </row>
    <row r="230" customFormat="false" ht="15" hidden="false" customHeight="false" outlineLevel="0" collapsed="false">
      <c r="A230" s="4" t="s">
        <v>92</v>
      </c>
      <c r="B230" s="4" t="s">
        <v>93</v>
      </c>
      <c r="C230" s="4" t="s">
        <v>12</v>
      </c>
      <c r="D230" s="5" t="s">
        <v>23</v>
      </c>
      <c r="E230" s="5" t="s">
        <v>14</v>
      </c>
      <c r="F230" s="5" t="s">
        <v>31</v>
      </c>
      <c r="G230" s="6" t="n">
        <f aca="false">MAX(0,ROUND((TIMEVALUE(F230)-TIMEVALUE(E230))*1440,0)-10)</f>
        <v>0</v>
      </c>
      <c r="H230" s="5" t="str">
        <f aca="false">IF(G230=0,"On Time","LATE ARRIVAL - "&amp;G230&amp;" min")</f>
        <v>On Time</v>
      </c>
    </row>
    <row r="231" customFormat="false" ht="15" hidden="false" customHeight="false" outlineLevel="0" collapsed="false">
      <c r="A231" s="4" t="s">
        <v>92</v>
      </c>
      <c r="B231" s="4" t="s">
        <v>93</v>
      </c>
      <c r="C231" s="4" t="s">
        <v>12</v>
      </c>
      <c r="D231" s="5" t="s">
        <v>25</v>
      </c>
      <c r="E231" s="5" t="s">
        <v>14</v>
      </c>
      <c r="F231" s="5" t="s">
        <v>64</v>
      </c>
      <c r="G231" s="6" t="n">
        <f aca="false">MAX(0,ROUND((TIMEVALUE(F231)-TIMEVALUE(E231))*1440,0)-10)</f>
        <v>0</v>
      </c>
      <c r="H231" s="5" t="str">
        <f aca="false">IF(G231=0,"On Time","LATE ARRIVAL - "&amp;G231&amp;" min")</f>
        <v>On Time</v>
      </c>
    </row>
    <row r="232" customFormat="false" ht="15" hidden="false" customHeight="false" outlineLevel="0" collapsed="false">
      <c r="A232" s="4" t="s">
        <v>92</v>
      </c>
      <c r="B232" s="4" t="s">
        <v>93</v>
      </c>
      <c r="C232" s="4" t="s">
        <v>12</v>
      </c>
      <c r="D232" s="5" t="s">
        <v>27</v>
      </c>
      <c r="E232" s="5" t="s">
        <v>14</v>
      </c>
      <c r="F232" s="5" t="s">
        <v>87</v>
      </c>
      <c r="G232" s="6" t="n">
        <f aca="false">MAX(0,ROUND((TIMEVALUE(F232)-TIMEVALUE(E232))*1440,0)-10)</f>
        <v>0</v>
      </c>
      <c r="H232" s="5" t="str">
        <f aca="false">IF(G232=0,"On Time","LATE ARRIVAL - "&amp;G232&amp;" min")</f>
        <v>On Time</v>
      </c>
    </row>
    <row r="233" customFormat="false" ht="15" hidden="false" customHeight="false" outlineLevel="0" collapsed="false">
      <c r="A233" s="4" t="s">
        <v>92</v>
      </c>
      <c r="B233" s="4" t="s">
        <v>93</v>
      </c>
      <c r="C233" s="4" t="s">
        <v>12</v>
      </c>
      <c r="D233" s="5" t="s">
        <v>29</v>
      </c>
      <c r="E233" s="5" t="s">
        <v>14</v>
      </c>
      <c r="F233" s="5" t="s">
        <v>87</v>
      </c>
      <c r="G233" s="6" t="n">
        <f aca="false">MAX(0,ROUND((TIMEVALUE(F233)-TIMEVALUE(E233))*1440,0)-10)</f>
        <v>0</v>
      </c>
      <c r="H233" s="5" t="str">
        <f aca="false">IF(G233=0,"On Time","LATE ARRIVAL - "&amp;G233&amp;" min")</f>
        <v>On Time</v>
      </c>
    </row>
    <row r="234" customFormat="false" ht="15" hidden="false" customHeight="false" outlineLevel="0" collapsed="false">
      <c r="A234" s="4" t="s">
        <v>92</v>
      </c>
      <c r="B234" s="4" t="s">
        <v>93</v>
      </c>
      <c r="C234" s="4" t="s">
        <v>12</v>
      </c>
      <c r="D234" s="5" t="s">
        <v>30</v>
      </c>
      <c r="E234" s="5" t="s">
        <v>14</v>
      </c>
      <c r="F234" s="5" t="s">
        <v>37</v>
      </c>
      <c r="G234" s="6" t="n">
        <f aca="false">MAX(0,ROUND((TIMEVALUE(F234)-TIMEVALUE(E234))*1440,0)-10)</f>
        <v>0</v>
      </c>
      <c r="H234" s="5" t="str">
        <f aca="false">IF(G234=0,"On Time","LATE ARRIVAL - "&amp;G234&amp;" min")</f>
        <v>On Time</v>
      </c>
    </row>
    <row r="235" customFormat="false" ht="15" hidden="false" customHeight="false" outlineLevel="0" collapsed="false">
      <c r="A235" s="4" t="s">
        <v>92</v>
      </c>
      <c r="B235" s="4" t="s">
        <v>93</v>
      </c>
      <c r="C235" s="4" t="s">
        <v>12</v>
      </c>
      <c r="D235" s="5" t="s">
        <v>32</v>
      </c>
      <c r="E235" s="5" t="s">
        <v>14</v>
      </c>
      <c r="F235" s="5" t="s">
        <v>72</v>
      </c>
      <c r="G235" s="6" t="n">
        <f aca="false">MAX(0,ROUND((TIMEVALUE(F235)-TIMEVALUE(E235))*1440,0)-10)</f>
        <v>0</v>
      </c>
      <c r="H235" s="5" t="str">
        <f aca="false">IF(G235=0,"On Time","LATE ARRIVAL - "&amp;G235&amp;" min")</f>
        <v>On Time</v>
      </c>
    </row>
    <row r="236" customFormat="false" ht="15" hidden="false" customHeight="false" outlineLevel="0" collapsed="false">
      <c r="A236" s="4" t="s">
        <v>92</v>
      </c>
      <c r="B236" s="4" t="s">
        <v>93</v>
      </c>
      <c r="C236" s="4" t="s">
        <v>12</v>
      </c>
      <c r="D236" s="5" t="s">
        <v>33</v>
      </c>
      <c r="E236" s="5" t="s">
        <v>14</v>
      </c>
      <c r="F236" s="5" t="s">
        <v>15</v>
      </c>
      <c r="G236" s="6" t="n">
        <f aca="false">MAX(0,ROUND((TIMEVALUE(F236)-TIMEVALUE(E236))*1440,0)-10)</f>
        <v>0</v>
      </c>
      <c r="H236" s="5" t="str">
        <f aca="false">IF(G236=0,"On Time","LATE ARRIVAL - "&amp;G236&amp;" min")</f>
        <v>On Time</v>
      </c>
    </row>
    <row r="237" customFormat="false" ht="15" hidden="false" customHeight="false" outlineLevel="0" collapsed="false">
      <c r="A237" s="4" t="s">
        <v>92</v>
      </c>
      <c r="B237" s="4" t="s">
        <v>93</v>
      </c>
      <c r="C237" s="4" t="s">
        <v>12</v>
      </c>
      <c r="D237" s="5" t="s">
        <v>35</v>
      </c>
      <c r="E237" s="5" t="s">
        <v>14</v>
      </c>
      <c r="F237" s="5" t="s">
        <v>41</v>
      </c>
      <c r="G237" s="6" t="n">
        <f aca="false">MAX(0,ROUND((TIMEVALUE(F237)-TIMEVALUE(E237))*1440,0)-10)</f>
        <v>0</v>
      </c>
      <c r="H237" s="5" t="str">
        <f aca="false">IF(G237=0,"On Time","LATE ARRIVAL - "&amp;G237&amp;" min")</f>
        <v>On Time</v>
      </c>
    </row>
    <row r="238" customFormat="false" ht="15" hidden="false" customHeight="false" outlineLevel="0" collapsed="false">
      <c r="A238" s="4" t="s">
        <v>92</v>
      </c>
      <c r="B238" s="4" t="s">
        <v>93</v>
      </c>
      <c r="C238" s="4" t="s">
        <v>12</v>
      </c>
      <c r="D238" s="5" t="s">
        <v>36</v>
      </c>
      <c r="E238" s="5" t="s">
        <v>14</v>
      </c>
      <c r="F238" s="5" t="s">
        <v>62</v>
      </c>
      <c r="G238" s="6" t="n">
        <f aca="false">MAX(0,ROUND((TIMEVALUE(F238)-TIMEVALUE(E238))*1440,0)-10)</f>
        <v>0</v>
      </c>
      <c r="H238" s="5" t="str">
        <f aca="false">IF(G238=0,"On Time","LATE ARRIVAL - "&amp;G238&amp;" min")</f>
        <v>On Time</v>
      </c>
    </row>
    <row r="239" customFormat="false" ht="15" hidden="false" customHeight="false" outlineLevel="0" collapsed="false">
      <c r="A239" s="4" t="s">
        <v>92</v>
      </c>
      <c r="B239" s="4" t="s">
        <v>93</v>
      </c>
      <c r="C239" s="4" t="s">
        <v>12</v>
      </c>
      <c r="D239" s="5" t="s">
        <v>38</v>
      </c>
      <c r="E239" s="5" t="s">
        <v>14</v>
      </c>
      <c r="F239" s="5" t="s">
        <v>39</v>
      </c>
      <c r="G239" s="6" t="n">
        <f aca="false">MAX(0,ROUND((TIMEVALUE(F239)-TIMEVALUE(E239))*1440,0)-10)</f>
        <v>0</v>
      </c>
      <c r="H239" s="5" t="str">
        <f aca="false">IF(G239=0,"On Time","LATE ARRIVAL - "&amp;G239&amp;" min")</f>
        <v>On Time</v>
      </c>
    </row>
    <row r="240" customFormat="false" ht="15" hidden="false" customHeight="false" outlineLevel="0" collapsed="false">
      <c r="A240" s="4" t="s">
        <v>92</v>
      </c>
      <c r="B240" s="4" t="s">
        <v>93</v>
      </c>
      <c r="C240" s="4" t="s">
        <v>12</v>
      </c>
      <c r="D240" s="5" t="s">
        <v>40</v>
      </c>
      <c r="E240" s="5" t="s">
        <v>14</v>
      </c>
      <c r="F240" s="5" t="s">
        <v>66</v>
      </c>
      <c r="G240" s="6" t="n">
        <f aca="false">MAX(0,ROUND((TIMEVALUE(F240)-TIMEVALUE(E240))*1440,0)-10)</f>
        <v>0</v>
      </c>
      <c r="H240" s="5" t="str">
        <f aca="false">IF(G240=0,"On Time","LATE ARRIVAL - "&amp;G240&amp;" min")</f>
        <v>On Time</v>
      </c>
    </row>
    <row r="241" customFormat="false" ht="15" hidden="false" customHeight="false" outlineLevel="0" collapsed="false">
      <c r="A241" s="4" t="s">
        <v>92</v>
      </c>
      <c r="B241" s="4" t="s">
        <v>93</v>
      </c>
      <c r="C241" s="4" t="s">
        <v>12</v>
      </c>
      <c r="D241" s="5" t="s">
        <v>42</v>
      </c>
      <c r="E241" s="5" t="s">
        <v>14</v>
      </c>
      <c r="F241" s="5" t="s">
        <v>73</v>
      </c>
      <c r="G241" s="6" t="n">
        <f aca="false">MAX(0,ROUND((TIMEVALUE(F241)-TIMEVALUE(E241))*1440,0)-10)</f>
        <v>0</v>
      </c>
      <c r="H241" s="5" t="str">
        <f aca="false">IF(G241=0,"On Time","LATE ARRIVAL - "&amp;G241&amp;" min")</f>
        <v>On Time</v>
      </c>
    </row>
    <row r="242" customFormat="false" ht="15" hidden="false" customHeight="false" outlineLevel="0" collapsed="false">
      <c r="A242" s="4" t="s">
        <v>92</v>
      </c>
      <c r="B242" s="4" t="s">
        <v>93</v>
      </c>
      <c r="C242" s="4" t="s">
        <v>12</v>
      </c>
      <c r="D242" s="5" t="s">
        <v>43</v>
      </c>
      <c r="E242" s="5" t="s">
        <v>14</v>
      </c>
      <c r="F242" s="5" t="s">
        <v>19</v>
      </c>
      <c r="G242" s="6" t="n">
        <f aca="false">MAX(0,ROUND((TIMEVALUE(F242)-TIMEVALUE(E242))*1440,0)-10)</f>
        <v>0</v>
      </c>
      <c r="H242" s="5" t="str">
        <f aca="false">IF(G242=0,"On Time","LATE ARRIVAL - "&amp;G242&amp;" min")</f>
        <v>On Time</v>
      </c>
    </row>
    <row r="243" customFormat="false" ht="15" hidden="false" customHeight="false" outlineLevel="0" collapsed="false">
      <c r="A243" s="4" t="s">
        <v>92</v>
      </c>
      <c r="B243" s="4" t="s">
        <v>93</v>
      </c>
      <c r="C243" s="4" t="s">
        <v>12</v>
      </c>
      <c r="D243" s="5" t="s">
        <v>45</v>
      </c>
      <c r="E243" s="5" t="s">
        <v>14</v>
      </c>
      <c r="F243" s="5" t="s">
        <v>22</v>
      </c>
      <c r="G243" s="6" t="n">
        <f aca="false">MAX(0,ROUND((TIMEVALUE(F243)-TIMEVALUE(E243))*1440,0)-10)</f>
        <v>0</v>
      </c>
      <c r="H243" s="5" t="str">
        <f aca="false">IF(G243=0,"On Time","LATE ARRIVAL - "&amp;G243&amp;" min")</f>
        <v>On Time</v>
      </c>
    </row>
    <row r="244" customFormat="false" ht="15" hidden="false" customHeight="false" outlineLevel="0" collapsed="false">
      <c r="A244" s="4" t="s">
        <v>92</v>
      </c>
      <c r="B244" s="4" t="s">
        <v>93</v>
      </c>
      <c r="C244" s="4" t="s">
        <v>12</v>
      </c>
      <c r="D244" s="5" t="s">
        <v>47</v>
      </c>
      <c r="E244" s="5" t="s">
        <v>14</v>
      </c>
      <c r="F244" s="5" t="s">
        <v>87</v>
      </c>
      <c r="G244" s="6" t="n">
        <f aca="false">MAX(0,ROUND((TIMEVALUE(F244)-TIMEVALUE(E244))*1440,0)-10)</f>
        <v>0</v>
      </c>
      <c r="H244" s="5" t="str">
        <f aca="false">IF(G244=0,"On Time","LATE ARRIVAL - "&amp;G244&amp;" min")</f>
        <v>On Time</v>
      </c>
    </row>
    <row r="245" customFormat="false" ht="15" hidden="false" customHeight="false" outlineLevel="0" collapsed="false">
      <c r="A245" s="4" t="s">
        <v>92</v>
      </c>
      <c r="B245" s="4" t="s">
        <v>93</v>
      </c>
      <c r="C245" s="4" t="s">
        <v>12</v>
      </c>
      <c r="D245" s="5" t="s">
        <v>48</v>
      </c>
      <c r="E245" s="5" t="s">
        <v>14</v>
      </c>
      <c r="F245" s="5" t="s">
        <v>39</v>
      </c>
      <c r="G245" s="6" t="n">
        <f aca="false">MAX(0,ROUND((TIMEVALUE(F245)-TIMEVALUE(E245))*1440,0)-10)</f>
        <v>0</v>
      </c>
      <c r="H245" s="5" t="str">
        <f aca="false">IF(G245=0,"On Time","LATE ARRIVAL - "&amp;G245&amp;" min")</f>
        <v>On Time</v>
      </c>
    </row>
    <row r="246" customFormat="false" ht="15" hidden="false" customHeight="false" outlineLevel="0" collapsed="false">
      <c r="A246" s="4" t="s">
        <v>92</v>
      </c>
      <c r="B246" s="4" t="s">
        <v>93</v>
      </c>
      <c r="C246" s="4" t="s">
        <v>12</v>
      </c>
      <c r="D246" s="5" t="s">
        <v>50</v>
      </c>
      <c r="E246" s="5" t="s">
        <v>14</v>
      </c>
      <c r="F246" s="5" t="s">
        <v>26</v>
      </c>
      <c r="G246" s="6" t="n">
        <f aca="false">MAX(0,ROUND((TIMEVALUE(F246)-TIMEVALUE(E246))*1440,0)-10)</f>
        <v>12</v>
      </c>
      <c r="H246" s="5" t="str">
        <f aca="false">IF(G246=0,"On Time","LATE ARRIVAL - "&amp;G246&amp;" min")</f>
        <v>LATE ARRIVAL - 12 min</v>
      </c>
    </row>
    <row r="247" customFormat="false" ht="15" hidden="false" customHeight="false" outlineLevel="0" collapsed="false">
      <c r="A247" s="4" t="s">
        <v>94</v>
      </c>
      <c r="B247" s="4" t="s">
        <v>95</v>
      </c>
      <c r="C247" s="4" t="s">
        <v>61</v>
      </c>
      <c r="D247" s="5" t="s">
        <v>13</v>
      </c>
      <c r="E247" s="5" t="s">
        <v>14</v>
      </c>
      <c r="F247" s="5" t="s">
        <v>17</v>
      </c>
      <c r="G247" s="6" t="n">
        <f aca="false">MAX(0,ROUND((TIMEVALUE(F247)-TIMEVALUE(E247))*1440,0)-10)</f>
        <v>0</v>
      </c>
      <c r="H247" s="5" t="str">
        <f aca="false">IF(G247=0,"On Time","LATE ARRIVAL - "&amp;G247&amp;" min")</f>
        <v>On Time</v>
      </c>
    </row>
    <row r="248" customFormat="false" ht="15" hidden="false" customHeight="false" outlineLevel="0" collapsed="false">
      <c r="A248" s="4" t="s">
        <v>94</v>
      </c>
      <c r="B248" s="4" t="s">
        <v>95</v>
      </c>
      <c r="C248" s="4" t="s">
        <v>61</v>
      </c>
      <c r="D248" s="5" t="s">
        <v>16</v>
      </c>
      <c r="E248" s="5" t="s">
        <v>14</v>
      </c>
      <c r="F248" s="5" t="s">
        <v>64</v>
      </c>
      <c r="G248" s="6" t="n">
        <f aca="false">MAX(0,ROUND((TIMEVALUE(F248)-TIMEVALUE(E248))*1440,0)-10)</f>
        <v>0</v>
      </c>
      <c r="H248" s="5" t="str">
        <f aca="false">IF(G248=0,"On Time","LATE ARRIVAL - "&amp;G248&amp;" min")</f>
        <v>On Time</v>
      </c>
    </row>
    <row r="249" customFormat="false" ht="15" hidden="false" customHeight="false" outlineLevel="0" collapsed="false">
      <c r="A249" s="4" t="s">
        <v>94</v>
      </c>
      <c r="B249" s="4" t="s">
        <v>95</v>
      </c>
      <c r="C249" s="4" t="s">
        <v>61</v>
      </c>
      <c r="D249" s="5" t="s">
        <v>18</v>
      </c>
      <c r="E249" s="5" t="s">
        <v>14</v>
      </c>
      <c r="F249" s="5" t="s">
        <v>26</v>
      </c>
      <c r="G249" s="6" t="n">
        <f aca="false">MAX(0,ROUND((TIMEVALUE(F249)-TIMEVALUE(E249))*1440,0)-10)</f>
        <v>12</v>
      </c>
      <c r="H249" s="5" t="str">
        <f aca="false">IF(G249=0,"On Time","LATE ARRIVAL - "&amp;G249&amp;" min")</f>
        <v>LATE ARRIVAL - 12 min</v>
      </c>
    </row>
    <row r="250" customFormat="false" ht="15" hidden="false" customHeight="false" outlineLevel="0" collapsed="false">
      <c r="A250" s="4" t="s">
        <v>94</v>
      </c>
      <c r="B250" s="4" t="s">
        <v>95</v>
      </c>
      <c r="C250" s="4" t="s">
        <v>61</v>
      </c>
      <c r="D250" s="5" t="s">
        <v>20</v>
      </c>
      <c r="E250" s="5" t="s">
        <v>14</v>
      </c>
      <c r="F250" s="5" t="s">
        <v>28</v>
      </c>
      <c r="G250" s="6" t="n">
        <f aca="false">MAX(0,ROUND((TIMEVALUE(F250)-TIMEVALUE(E250))*1440,0)-10)</f>
        <v>0</v>
      </c>
      <c r="H250" s="5" t="str">
        <f aca="false">IF(G250=0,"On Time","LATE ARRIVAL - "&amp;G250&amp;" min")</f>
        <v>On Time</v>
      </c>
    </row>
    <row r="251" customFormat="false" ht="15" hidden="false" customHeight="false" outlineLevel="0" collapsed="false">
      <c r="A251" s="4" t="s">
        <v>94</v>
      </c>
      <c r="B251" s="4" t="s">
        <v>95</v>
      </c>
      <c r="C251" s="4" t="s">
        <v>61</v>
      </c>
      <c r="D251" s="5" t="s">
        <v>21</v>
      </c>
      <c r="E251" s="5" t="s">
        <v>14</v>
      </c>
      <c r="F251" s="5" t="s">
        <v>22</v>
      </c>
      <c r="G251" s="6" t="n">
        <f aca="false">MAX(0,ROUND((TIMEVALUE(F251)-TIMEVALUE(E251))*1440,0)-10)</f>
        <v>0</v>
      </c>
      <c r="H251" s="5" t="str">
        <f aca="false">IF(G251=0,"On Time","LATE ARRIVAL - "&amp;G251&amp;" min")</f>
        <v>On Time</v>
      </c>
    </row>
    <row r="252" customFormat="false" ht="15" hidden="false" customHeight="false" outlineLevel="0" collapsed="false">
      <c r="A252" s="4" t="s">
        <v>94</v>
      </c>
      <c r="B252" s="4" t="s">
        <v>95</v>
      </c>
      <c r="C252" s="4" t="s">
        <v>61</v>
      </c>
      <c r="D252" s="5" t="s">
        <v>23</v>
      </c>
      <c r="E252" s="5" t="s">
        <v>14</v>
      </c>
      <c r="F252" s="5" t="s">
        <v>56</v>
      </c>
      <c r="G252" s="6" t="n">
        <f aca="false">MAX(0,ROUND((TIMEVALUE(F252)-TIMEVALUE(E252))*1440,0)-10)</f>
        <v>0</v>
      </c>
      <c r="H252" s="5" t="str">
        <f aca="false">IF(G252=0,"On Time","LATE ARRIVAL - "&amp;G252&amp;" min")</f>
        <v>On Time</v>
      </c>
    </row>
    <row r="253" customFormat="false" ht="15" hidden="false" customHeight="false" outlineLevel="0" collapsed="false">
      <c r="A253" s="4" t="s">
        <v>94</v>
      </c>
      <c r="B253" s="4" t="s">
        <v>95</v>
      </c>
      <c r="C253" s="4" t="s">
        <v>61</v>
      </c>
      <c r="D253" s="5" t="s">
        <v>25</v>
      </c>
      <c r="E253" s="5" t="s">
        <v>14</v>
      </c>
      <c r="F253" s="5" t="s">
        <v>31</v>
      </c>
      <c r="G253" s="6" t="n">
        <f aca="false">MAX(0,ROUND((TIMEVALUE(F253)-TIMEVALUE(E253))*1440,0)-10)</f>
        <v>0</v>
      </c>
      <c r="H253" s="5" t="str">
        <f aca="false">IF(G253=0,"On Time","LATE ARRIVAL - "&amp;G253&amp;" min")</f>
        <v>On Time</v>
      </c>
    </row>
    <row r="254" customFormat="false" ht="15" hidden="false" customHeight="false" outlineLevel="0" collapsed="false">
      <c r="A254" s="4" t="s">
        <v>94</v>
      </c>
      <c r="B254" s="4" t="s">
        <v>95</v>
      </c>
      <c r="C254" s="4" t="s">
        <v>61</v>
      </c>
      <c r="D254" s="5" t="s">
        <v>27</v>
      </c>
      <c r="E254" s="5" t="s">
        <v>14</v>
      </c>
      <c r="F254" s="5" t="s">
        <v>14</v>
      </c>
      <c r="G254" s="6" t="n">
        <f aca="false">MAX(0,ROUND((TIMEVALUE(F254)-TIMEVALUE(E254))*1440,0)-10)</f>
        <v>0</v>
      </c>
      <c r="H254" s="5" t="str">
        <f aca="false">IF(G254=0,"On Time","LATE ARRIVAL - "&amp;G254&amp;" min")</f>
        <v>On Time</v>
      </c>
    </row>
    <row r="255" customFormat="false" ht="15" hidden="false" customHeight="false" outlineLevel="0" collapsed="false">
      <c r="A255" s="4" t="s">
        <v>94</v>
      </c>
      <c r="B255" s="4" t="s">
        <v>95</v>
      </c>
      <c r="C255" s="4" t="s">
        <v>61</v>
      </c>
      <c r="D255" s="5" t="s">
        <v>29</v>
      </c>
      <c r="E255" s="5" t="s">
        <v>14</v>
      </c>
      <c r="F255" s="5" t="s">
        <v>64</v>
      </c>
      <c r="G255" s="6" t="n">
        <f aca="false">MAX(0,ROUND((TIMEVALUE(F255)-TIMEVALUE(E255))*1440,0)-10)</f>
        <v>0</v>
      </c>
      <c r="H255" s="5" t="str">
        <f aca="false">IF(G255=0,"On Time","LATE ARRIVAL - "&amp;G255&amp;" min")</f>
        <v>On Time</v>
      </c>
    </row>
    <row r="256" customFormat="false" ht="15" hidden="false" customHeight="false" outlineLevel="0" collapsed="false">
      <c r="A256" s="4" t="s">
        <v>94</v>
      </c>
      <c r="B256" s="4" t="s">
        <v>95</v>
      </c>
      <c r="C256" s="4" t="s">
        <v>61</v>
      </c>
      <c r="D256" s="5" t="s">
        <v>30</v>
      </c>
      <c r="E256" s="5" t="s">
        <v>14</v>
      </c>
      <c r="F256" s="5" t="s">
        <v>15</v>
      </c>
      <c r="G256" s="6" t="n">
        <f aca="false">MAX(0,ROUND((TIMEVALUE(F256)-TIMEVALUE(E256))*1440,0)-10)</f>
        <v>0</v>
      </c>
      <c r="H256" s="5" t="str">
        <f aca="false">IF(G256=0,"On Time","LATE ARRIVAL - "&amp;G256&amp;" min")</f>
        <v>On Time</v>
      </c>
    </row>
    <row r="257" customFormat="false" ht="15" hidden="false" customHeight="false" outlineLevel="0" collapsed="false">
      <c r="A257" s="4" t="s">
        <v>94</v>
      </c>
      <c r="B257" s="4" t="s">
        <v>95</v>
      </c>
      <c r="C257" s="4" t="s">
        <v>61</v>
      </c>
      <c r="D257" s="5" t="s">
        <v>32</v>
      </c>
      <c r="E257" s="5" t="s">
        <v>14</v>
      </c>
      <c r="F257" s="5" t="s">
        <v>58</v>
      </c>
      <c r="G257" s="6" t="n">
        <f aca="false">MAX(0,ROUND((TIMEVALUE(F257)-TIMEVALUE(E257))*1440,0)-10)</f>
        <v>0</v>
      </c>
      <c r="H257" s="5" t="str">
        <f aca="false">IF(G257=0,"On Time","LATE ARRIVAL - "&amp;G257&amp;" min")</f>
        <v>On Time</v>
      </c>
    </row>
    <row r="258" customFormat="false" ht="15" hidden="false" customHeight="false" outlineLevel="0" collapsed="false">
      <c r="A258" s="4" t="s">
        <v>94</v>
      </c>
      <c r="B258" s="4" t="s">
        <v>95</v>
      </c>
      <c r="C258" s="4" t="s">
        <v>61</v>
      </c>
      <c r="D258" s="5" t="s">
        <v>33</v>
      </c>
      <c r="E258" s="5" t="s">
        <v>14</v>
      </c>
      <c r="F258" s="5" t="s">
        <v>58</v>
      </c>
      <c r="G258" s="6" t="n">
        <f aca="false">MAX(0,ROUND((TIMEVALUE(F258)-TIMEVALUE(E258))*1440,0)-10)</f>
        <v>0</v>
      </c>
      <c r="H258" s="5" t="str">
        <f aca="false">IF(G258=0,"On Time","LATE ARRIVAL - "&amp;G258&amp;" min")</f>
        <v>On Time</v>
      </c>
    </row>
    <row r="259" customFormat="false" ht="15" hidden="false" customHeight="false" outlineLevel="0" collapsed="false">
      <c r="A259" s="4" t="s">
        <v>94</v>
      </c>
      <c r="B259" s="4" t="s">
        <v>95</v>
      </c>
      <c r="C259" s="4" t="s">
        <v>61</v>
      </c>
      <c r="D259" s="5" t="s">
        <v>35</v>
      </c>
      <c r="E259" s="5" t="s">
        <v>14</v>
      </c>
      <c r="F259" s="5" t="s">
        <v>37</v>
      </c>
      <c r="G259" s="6" t="n">
        <f aca="false">MAX(0,ROUND((TIMEVALUE(F259)-TIMEVALUE(E259))*1440,0)-10)</f>
        <v>0</v>
      </c>
      <c r="H259" s="5" t="str">
        <f aca="false">IF(G259=0,"On Time","LATE ARRIVAL - "&amp;G259&amp;" min")</f>
        <v>On Time</v>
      </c>
    </row>
    <row r="260" customFormat="false" ht="15" hidden="false" customHeight="false" outlineLevel="0" collapsed="false">
      <c r="A260" s="4" t="s">
        <v>94</v>
      </c>
      <c r="B260" s="4" t="s">
        <v>95</v>
      </c>
      <c r="C260" s="4" t="s">
        <v>61</v>
      </c>
      <c r="D260" s="5" t="s">
        <v>36</v>
      </c>
      <c r="E260" s="5" t="s">
        <v>14</v>
      </c>
      <c r="F260" s="5" t="s">
        <v>31</v>
      </c>
      <c r="G260" s="6" t="n">
        <f aca="false">MAX(0,ROUND((TIMEVALUE(F260)-TIMEVALUE(E260))*1440,0)-10)</f>
        <v>0</v>
      </c>
      <c r="H260" s="5" t="str">
        <f aca="false">IF(G260=0,"On Time","LATE ARRIVAL - "&amp;G260&amp;" min")</f>
        <v>On Time</v>
      </c>
    </row>
    <row r="261" customFormat="false" ht="15" hidden="false" customHeight="false" outlineLevel="0" collapsed="false">
      <c r="A261" s="4" t="s">
        <v>94</v>
      </c>
      <c r="B261" s="4" t="s">
        <v>95</v>
      </c>
      <c r="C261" s="4" t="s">
        <v>61</v>
      </c>
      <c r="D261" s="5" t="s">
        <v>38</v>
      </c>
      <c r="E261" s="5" t="s">
        <v>14</v>
      </c>
      <c r="F261" s="5" t="s">
        <v>24</v>
      </c>
      <c r="G261" s="6" t="n">
        <f aca="false">MAX(0,ROUND((TIMEVALUE(F261)-TIMEVALUE(E261))*1440,0)-10)</f>
        <v>0</v>
      </c>
      <c r="H261" s="5" t="str">
        <f aca="false">IF(G261=0,"On Time","LATE ARRIVAL - "&amp;G261&amp;" min")</f>
        <v>On Time</v>
      </c>
    </row>
    <row r="262" customFormat="false" ht="15" hidden="false" customHeight="false" outlineLevel="0" collapsed="false">
      <c r="A262" s="4" t="s">
        <v>94</v>
      </c>
      <c r="B262" s="4" t="s">
        <v>95</v>
      </c>
      <c r="C262" s="4" t="s">
        <v>61</v>
      </c>
      <c r="D262" s="5" t="s">
        <v>40</v>
      </c>
      <c r="E262" s="5" t="s">
        <v>14</v>
      </c>
      <c r="F262" s="5" t="s">
        <v>65</v>
      </c>
      <c r="G262" s="6" t="n">
        <f aca="false">MAX(0,ROUND((TIMEVALUE(F262)-TIMEVALUE(E262))*1440,0)-10)</f>
        <v>0</v>
      </c>
      <c r="H262" s="5" t="str">
        <f aca="false">IF(G262=0,"On Time","LATE ARRIVAL - "&amp;G262&amp;" min")</f>
        <v>On Time</v>
      </c>
    </row>
    <row r="263" customFormat="false" ht="15" hidden="false" customHeight="false" outlineLevel="0" collapsed="false">
      <c r="A263" s="4" t="s">
        <v>94</v>
      </c>
      <c r="B263" s="4" t="s">
        <v>95</v>
      </c>
      <c r="C263" s="4" t="s">
        <v>61</v>
      </c>
      <c r="D263" s="5" t="s">
        <v>42</v>
      </c>
      <c r="E263" s="5" t="s">
        <v>14</v>
      </c>
      <c r="F263" s="5" t="s">
        <v>66</v>
      </c>
      <c r="G263" s="6" t="n">
        <f aca="false">MAX(0,ROUND((TIMEVALUE(F263)-TIMEVALUE(E263))*1440,0)-10)</f>
        <v>0</v>
      </c>
      <c r="H263" s="5" t="str">
        <f aca="false">IF(G263=0,"On Time","LATE ARRIVAL - "&amp;G263&amp;" min")</f>
        <v>On Time</v>
      </c>
    </row>
    <row r="264" customFormat="false" ht="15" hidden="false" customHeight="false" outlineLevel="0" collapsed="false">
      <c r="A264" s="4" t="s">
        <v>94</v>
      </c>
      <c r="B264" s="4" t="s">
        <v>95</v>
      </c>
      <c r="C264" s="4" t="s">
        <v>61</v>
      </c>
      <c r="D264" s="5" t="s">
        <v>43</v>
      </c>
      <c r="E264" s="5" t="s">
        <v>14</v>
      </c>
      <c r="F264" s="5" t="s">
        <v>49</v>
      </c>
      <c r="G264" s="6" t="n">
        <f aca="false">MAX(0,ROUND((TIMEVALUE(F264)-TIMEVALUE(E264))*1440,0)-10)</f>
        <v>0</v>
      </c>
      <c r="H264" s="5" t="str">
        <f aca="false">IF(G264=0,"On Time","LATE ARRIVAL - "&amp;G264&amp;" min")</f>
        <v>On Time</v>
      </c>
    </row>
    <row r="265" customFormat="false" ht="15" hidden="false" customHeight="false" outlineLevel="0" collapsed="false">
      <c r="A265" s="4" t="s">
        <v>94</v>
      </c>
      <c r="B265" s="4" t="s">
        <v>95</v>
      </c>
      <c r="C265" s="4" t="s">
        <v>61</v>
      </c>
      <c r="D265" s="5" t="s">
        <v>45</v>
      </c>
      <c r="E265" s="5" t="s">
        <v>14</v>
      </c>
      <c r="F265" s="5" t="s">
        <v>58</v>
      </c>
      <c r="G265" s="6" t="n">
        <f aca="false">MAX(0,ROUND((TIMEVALUE(F265)-TIMEVALUE(E265))*1440,0)-10)</f>
        <v>0</v>
      </c>
      <c r="H265" s="5" t="str">
        <f aca="false">IF(G265=0,"On Time","LATE ARRIVAL - "&amp;G265&amp;" min")</f>
        <v>On Time</v>
      </c>
    </row>
    <row r="266" customFormat="false" ht="15" hidden="false" customHeight="false" outlineLevel="0" collapsed="false">
      <c r="A266" s="4" t="s">
        <v>94</v>
      </c>
      <c r="B266" s="4" t="s">
        <v>95</v>
      </c>
      <c r="C266" s="4" t="s">
        <v>61</v>
      </c>
      <c r="D266" s="5" t="s">
        <v>47</v>
      </c>
      <c r="E266" s="5" t="s">
        <v>14</v>
      </c>
      <c r="F266" s="5" t="s">
        <v>28</v>
      </c>
      <c r="G266" s="6" t="n">
        <f aca="false">MAX(0,ROUND((TIMEVALUE(F266)-TIMEVALUE(E266))*1440,0)-10)</f>
        <v>0</v>
      </c>
      <c r="H266" s="5" t="str">
        <f aca="false">IF(G266=0,"On Time","LATE ARRIVAL - "&amp;G266&amp;" min")</f>
        <v>On Time</v>
      </c>
    </row>
    <row r="267" customFormat="false" ht="15" hidden="false" customHeight="false" outlineLevel="0" collapsed="false">
      <c r="A267" s="4" t="s">
        <v>94</v>
      </c>
      <c r="B267" s="4" t="s">
        <v>95</v>
      </c>
      <c r="C267" s="4" t="s">
        <v>61</v>
      </c>
      <c r="D267" s="5" t="s">
        <v>48</v>
      </c>
      <c r="E267" s="5" t="s">
        <v>14</v>
      </c>
      <c r="F267" s="5" t="s">
        <v>73</v>
      </c>
      <c r="G267" s="6" t="n">
        <f aca="false">MAX(0,ROUND((TIMEVALUE(F267)-TIMEVALUE(E267))*1440,0)-10)</f>
        <v>0</v>
      </c>
      <c r="H267" s="5" t="str">
        <f aca="false">IF(G267=0,"On Time","LATE ARRIVAL - "&amp;G267&amp;" min")</f>
        <v>On Time</v>
      </c>
    </row>
    <row r="268" customFormat="false" ht="15" hidden="false" customHeight="false" outlineLevel="0" collapsed="false">
      <c r="A268" s="4" t="s">
        <v>94</v>
      </c>
      <c r="B268" s="4" t="s">
        <v>95</v>
      </c>
      <c r="C268" s="4" t="s">
        <v>61</v>
      </c>
      <c r="D268" s="5" t="s">
        <v>50</v>
      </c>
      <c r="E268" s="5" t="s">
        <v>14</v>
      </c>
      <c r="F268" s="5" t="s">
        <v>49</v>
      </c>
      <c r="G268" s="6" t="n">
        <f aca="false">MAX(0,ROUND((TIMEVALUE(F268)-TIMEVALUE(E268))*1440,0)-10)</f>
        <v>0</v>
      </c>
      <c r="H268" s="5" t="str">
        <f aca="false">IF(G268=0,"On Time","LATE ARRIVAL - "&amp;G268&amp;" min")</f>
        <v>On Time</v>
      </c>
    </row>
    <row r="269" customFormat="false" ht="15" hidden="false" customHeight="false" outlineLevel="0" collapsed="false">
      <c r="A269" s="4" t="s">
        <v>96</v>
      </c>
      <c r="B269" s="4" t="s">
        <v>97</v>
      </c>
      <c r="C269" s="4" t="s">
        <v>69</v>
      </c>
      <c r="D269" s="5" t="s">
        <v>13</v>
      </c>
      <c r="E269" s="5" t="s">
        <v>14</v>
      </c>
      <c r="F269" s="5" t="s">
        <v>37</v>
      </c>
      <c r="G269" s="6" t="n">
        <f aca="false">MAX(0,ROUND((TIMEVALUE(F269)-TIMEVALUE(E269))*1440,0)-10)</f>
        <v>0</v>
      </c>
      <c r="H269" s="5" t="str">
        <f aca="false">IF(G269=0,"On Time","LATE ARRIVAL - "&amp;G269&amp;" min")</f>
        <v>On Time</v>
      </c>
    </row>
    <row r="270" customFormat="false" ht="15" hidden="false" customHeight="false" outlineLevel="0" collapsed="false">
      <c r="A270" s="4" t="s">
        <v>96</v>
      </c>
      <c r="B270" s="4" t="s">
        <v>97</v>
      </c>
      <c r="C270" s="4" t="s">
        <v>69</v>
      </c>
      <c r="D270" s="5" t="s">
        <v>16</v>
      </c>
      <c r="E270" s="5" t="s">
        <v>14</v>
      </c>
      <c r="F270" s="5" t="s">
        <v>14</v>
      </c>
      <c r="G270" s="6" t="n">
        <f aca="false">MAX(0,ROUND((TIMEVALUE(F270)-TIMEVALUE(E270))*1440,0)-10)</f>
        <v>0</v>
      </c>
      <c r="H270" s="5" t="str">
        <f aca="false">IF(G270=0,"On Time","LATE ARRIVAL - "&amp;G270&amp;" min")</f>
        <v>On Time</v>
      </c>
    </row>
    <row r="271" customFormat="false" ht="15" hidden="false" customHeight="false" outlineLevel="0" collapsed="false">
      <c r="A271" s="4" t="s">
        <v>96</v>
      </c>
      <c r="B271" s="4" t="s">
        <v>97</v>
      </c>
      <c r="C271" s="4" t="s">
        <v>69</v>
      </c>
      <c r="D271" s="5" t="s">
        <v>18</v>
      </c>
      <c r="E271" s="5" t="s">
        <v>14</v>
      </c>
      <c r="F271" s="5" t="s">
        <v>58</v>
      </c>
      <c r="G271" s="6" t="n">
        <f aca="false">MAX(0,ROUND((TIMEVALUE(F271)-TIMEVALUE(E271))*1440,0)-10)</f>
        <v>0</v>
      </c>
      <c r="H271" s="5" t="str">
        <f aca="false">IF(G271=0,"On Time","LATE ARRIVAL - "&amp;G271&amp;" min")</f>
        <v>On Time</v>
      </c>
    </row>
    <row r="272" customFormat="false" ht="15" hidden="false" customHeight="false" outlineLevel="0" collapsed="false">
      <c r="A272" s="4" t="s">
        <v>96</v>
      </c>
      <c r="B272" s="4" t="s">
        <v>97</v>
      </c>
      <c r="C272" s="4" t="s">
        <v>69</v>
      </c>
      <c r="D272" s="5" t="s">
        <v>20</v>
      </c>
      <c r="E272" s="5" t="s">
        <v>14</v>
      </c>
      <c r="F272" s="5" t="s">
        <v>56</v>
      </c>
      <c r="G272" s="6" t="n">
        <f aca="false">MAX(0,ROUND((TIMEVALUE(F272)-TIMEVALUE(E272))*1440,0)-10)</f>
        <v>0</v>
      </c>
      <c r="H272" s="5" t="str">
        <f aca="false">IF(G272=0,"On Time","LATE ARRIVAL - "&amp;G272&amp;" min")</f>
        <v>On Time</v>
      </c>
    </row>
    <row r="273" customFormat="false" ht="15" hidden="false" customHeight="false" outlineLevel="0" collapsed="false">
      <c r="A273" s="4" t="s">
        <v>96</v>
      </c>
      <c r="B273" s="4" t="s">
        <v>97</v>
      </c>
      <c r="C273" s="4" t="s">
        <v>69</v>
      </c>
      <c r="D273" s="5" t="s">
        <v>21</v>
      </c>
      <c r="E273" s="5" t="s">
        <v>14</v>
      </c>
      <c r="F273" s="5" t="s">
        <v>58</v>
      </c>
      <c r="G273" s="6" t="n">
        <f aca="false">MAX(0,ROUND((TIMEVALUE(F273)-TIMEVALUE(E273))*1440,0)-10)</f>
        <v>0</v>
      </c>
      <c r="H273" s="5" t="str">
        <f aca="false">IF(G273=0,"On Time","LATE ARRIVAL - "&amp;G273&amp;" min")</f>
        <v>On Time</v>
      </c>
    </row>
    <row r="274" customFormat="false" ht="15" hidden="false" customHeight="false" outlineLevel="0" collapsed="false">
      <c r="A274" s="4" t="s">
        <v>96</v>
      </c>
      <c r="B274" s="4" t="s">
        <v>97</v>
      </c>
      <c r="C274" s="4" t="s">
        <v>69</v>
      </c>
      <c r="D274" s="5" t="s">
        <v>23</v>
      </c>
      <c r="E274" s="5" t="s">
        <v>14</v>
      </c>
      <c r="F274" s="5" t="s">
        <v>56</v>
      </c>
      <c r="G274" s="6" t="n">
        <f aca="false">MAX(0,ROUND((TIMEVALUE(F274)-TIMEVALUE(E274))*1440,0)-10)</f>
        <v>0</v>
      </c>
      <c r="H274" s="5" t="str">
        <f aca="false">IF(G274=0,"On Time","LATE ARRIVAL - "&amp;G274&amp;" min")</f>
        <v>On Time</v>
      </c>
    </row>
    <row r="275" customFormat="false" ht="15" hidden="false" customHeight="false" outlineLevel="0" collapsed="false">
      <c r="A275" s="4" t="s">
        <v>96</v>
      </c>
      <c r="B275" s="4" t="s">
        <v>97</v>
      </c>
      <c r="C275" s="4" t="s">
        <v>69</v>
      </c>
      <c r="D275" s="5" t="s">
        <v>25</v>
      </c>
      <c r="E275" s="5" t="s">
        <v>14</v>
      </c>
      <c r="F275" s="5" t="s">
        <v>66</v>
      </c>
      <c r="G275" s="6" t="n">
        <f aca="false">MAX(0,ROUND((TIMEVALUE(F275)-TIMEVALUE(E275))*1440,0)-10)</f>
        <v>0</v>
      </c>
      <c r="H275" s="5" t="str">
        <f aca="false">IF(G275=0,"On Time","LATE ARRIVAL - "&amp;G275&amp;" min")</f>
        <v>On Time</v>
      </c>
    </row>
    <row r="276" customFormat="false" ht="15" hidden="false" customHeight="false" outlineLevel="0" collapsed="false">
      <c r="A276" s="4" t="s">
        <v>96</v>
      </c>
      <c r="B276" s="4" t="s">
        <v>97</v>
      </c>
      <c r="C276" s="4" t="s">
        <v>69</v>
      </c>
      <c r="D276" s="5" t="s">
        <v>27</v>
      </c>
      <c r="E276" s="5" t="s">
        <v>14</v>
      </c>
      <c r="F276" s="5" t="s">
        <v>54</v>
      </c>
      <c r="G276" s="6" t="n">
        <f aca="false">MAX(0,ROUND((TIMEVALUE(F276)-TIMEVALUE(E276))*1440,0)-10)</f>
        <v>15</v>
      </c>
      <c r="H276" s="5" t="str">
        <f aca="false">IF(G276=0,"On Time","LATE ARRIVAL - "&amp;G276&amp;" min")</f>
        <v>LATE ARRIVAL - 15 min</v>
      </c>
    </row>
    <row r="277" customFormat="false" ht="15" hidden="false" customHeight="false" outlineLevel="0" collapsed="false">
      <c r="A277" s="4" t="s">
        <v>96</v>
      </c>
      <c r="B277" s="4" t="s">
        <v>97</v>
      </c>
      <c r="C277" s="4" t="s">
        <v>69</v>
      </c>
      <c r="D277" s="5" t="s">
        <v>29</v>
      </c>
      <c r="E277" s="5" t="s">
        <v>14</v>
      </c>
      <c r="F277" s="5" t="s">
        <v>39</v>
      </c>
      <c r="G277" s="6" t="n">
        <f aca="false">MAX(0,ROUND((TIMEVALUE(F277)-TIMEVALUE(E277))*1440,0)-10)</f>
        <v>0</v>
      </c>
      <c r="H277" s="5" t="str">
        <f aca="false">IF(G277=0,"On Time","LATE ARRIVAL - "&amp;G277&amp;" min")</f>
        <v>On Time</v>
      </c>
    </row>
    <row r="278" customFormat="false" ht="15" hidden="false" customHeight="false" outlineLevel="0" collapsed="false">
      <c r="A278" s="4" t="s">
        <v>96</v>
      </c>
      <c r="B278" s="4" t="s">
        <v>97</v>
      </c>
      <c r="C278" s="4" t="s">
        <v>69</v>
      </c>
      <c r="D278" s="5" t="s">
        <v>30</v>
      </c>
      <c r="E278" s="5" t="s">
        <v>14</v>
      </c>
      <c r="F278" s="5" t="s">
        <v>49</v>
      </c>
      <c r="G278" s="6" t="n">
        <f aca="false">MAX(0,ROUND((TIMEVALUE(F278)-TIMEVALUE(E278))*1440,0)-10)</f>
        <v>0</v>
      </c>
      <c r="H278" s="5" t="str">
        <f aca="false">IF(G278=0,"On Time","LATE ARRIVAL - "&amp;G278&amp;" min")</f>
        <v>On Time</v>
      </c>
    </row>
    <row r="279" customFormat="false" ht="15" hidden="false" customHeight="false" outlineLevel="0" collapsed="false">
      <c r="A279" s="4" t="s">
        <v>96</v>
      </c>
      <c r="B279" s="4" t="s">
        <v>97</v>
      </c>
      <c r="C279" s="4" t="s">
        <v>69</v>
      </c>
      <c r="D279" s="5" t="s">
        <v>32</v>
      </c>
      <c r="E279" s="5" t="s">
        <v>14</v>
      </c>
      <c r="F279" s="5" t="s">
        <v>64</v>
      </c>
      <c r="G279" s="6" t="n">
        <f aca="false">MAX(0,ROUND((TIMEVALUE(F279)-TIMEVALUE(E279))*1440,0)-10)</f>
        <v>0</v>
      </c>
      <c r="H279" s="5" t="str">
        <f aca="false">IF(G279=0,"On Time","LATE ARRIVAL - "&amp;G279&amp;" min")</f>
        <v>On Time</v>
      </c>
    </row>
    <row r="280" customFormat="false" ht="15" hidden="false" customHeight="false" outlineLevel="0" collapsed="false">
      <c r="A280" s="4" t="s">
        <v>96</v>
      </c>
      <c r="B280" s="4" t="s">
        <v>97</v>
      </c>
      <c r="C280" s="4" t="s">
        <v>69</v>
      </c>
      <c r="D280" s="5" t="s">
        <v>33</v>
      </c>
      <c r="E280" s="5" t="s">
        <v>14</v>
      </c>
      <c r="F280" s="5" t="s">
        <v>31</v>
      </c>
      <c r="G280" s="6" t="n">
        <f aca="false">MAX(0,ROUND((TIMEVALUE(F280)-TIMEVALUE(E280))*1440,0)-10)</f>
        <v>0</v>
      </c>
      <c r="H280" s="5" t="str">
        <f aca="false">IF(G280=0,"On Time","LATE ARRIVAL - "&amp;G280&amp;" min")</f>
        <v>On Time</v>
      </c>
    </row>
    <row r="281" customFormat="false" ht="15" hidden="false" customHeight="false" outlineLevel="0" collapsed="false">
      <c r="A281" s="4" t="s">
        <v>96</v>
      </c>
      <c r="B281" s="4" t="s">
        <v>97</v>
      </c>
      <c r="C281" s="4" t="s">
        <v>69</v>
      </c>
      <c r="D281" s="5" t="s">
        <v>35</v>
      </c>
      <c r="E281" s="5" t="s">
        <v>14</v>
      </c>
      <c r="F281" s="5" t="s">
        <v>41</v>
      </c>
      <c r="G281" s="6" t="n">
        <f aca="false">MAX(0,ROUND((TIMEVALUE(F281)-TIMEVALUE(E281))*1440,0)-10)</f>
        <v>0</v>
      </c>
      <c r="H281" s="5" t="str">
        <f aca="false">IF(G281=0,"On Time","LATE ARRIVAL - "&amp;G281&amp;" min")</f>
        <v>On Time</v>
      </c>
    </row>
    <row r="282" customFormat="false" ht="15" hidden="false" customHeight="false" outlineLevel="0" collapsed="false">
      <c r="A282" s="4" t="s">
        <v>96</v>
      </c>
      <c r="B282" s="4" t="s">
        <v>97</v>
      </c>
      <c r="C282" s="4" t="s">
        <v>69</v>
      </c>
      <c r="D282" s="5" t="s">
        <v>36</v>
      </c>
      <c r="E282" s="5" t="s">
        <v>14</v>
      </c>
      <c r="F282" s="5" t="s">
        <v>57</v>
      </c>
      <c r="G282" s="6" t="n">
        <f aca="false">MAX(0,ROUND((TIMEVALUE(F282)-TIMEVALUE(E282))*1440,0)-10)</f>
        <v>20</v>
      </c>
      <c r="H282" s="5" t="str">
        <f aca="false">IF(G282=0,"On Time","LATE ARRIVAL - "&amp;G282&amp;" min")</f>
        <v>LATE ARRIVAL - 20 min</v>
      </c>
    </row>
    <row r="283" customFormat="false" ht="15" hidden="false" customHeight="false" outlineLevel="0" collapsed="false">
      <c r="A283" s="4" t="s">
        <v>96</v>
      </c>
      <c r="B283" s="4" t="s">
        <v>97</v>
      </c>
      <c r="C283" s="4" t="s">
        <v>69</v>
      </c>
      <c r="D283" s="5" t="s">
        <v>38</v>
      </c>
      <c r="E283" s="5" t="s">
        <v>14</v>
      </c>
      <c r="F283" s="5" t="s">
        <v>66</v>
      </c>
      <c r="G283" s="6" t="n">
        <f aca="false">MAX(0,ROUND((TIMEVALUE(F283)-TIMEVALUE(E283))*1440,0)-10)</f>
        <v>0</v>
      </c>
      <c r="H283" s="5" t="str">
        <f aca="false">IF(G283=0,"On Time","LATE ARRIVAL - "&amp;G283&amp;" min")</f>
        <v>On Time</v>
      </c>
    </row>
    <row r="284" customFormat="false" ht="15" hidden="false" customHeight="false" outlineLevel="0" collapsed="false">
      <c r="A284" s="4" t="s">
        <v>96</v>
      </c>
      <c r="B284" s="4" t="s">
        <v>97</v>
      </c>
      <c r="C284" s="4" t="s">
        <v>69</v>
      </c>
      <c r="D284" s="5" t="s">
        <v>40</v>
      </c>
      <c r="E284" s="5" t="s">
        <v>14</v>
      </c>
      <c r="F284" s="5" t="s">
        <v>41</v>
      </c>
      <c r="G284" s="6" t="n">
        <f aca="false">MAX(0,ROUND((TIMEVALUE(F284)-TIMEVALUE(E284))*1440,0)-10)</f>
        <v>0</v>
      </c>
      <c r="H284" s="5" t="str">
        <f aca="false">IF(G284=0,"On Time","LATE ARRIVAL - "&amp;G284&amp;" min")</f>
        <v>On Time</v>
      </c>
    </row>
    <row r="285" customFormat="false" ht="15" hidden="false" customHeight="false" outlineLevel="0" collapsed="false">
      <c r="A285" s="4" t="s">
        <v>96</v>
      </c>
      <c r="B285" s="4" t="s">
        <v>97</v>
      </c>
      <c r="C285" s="4" t="s">
        <v>69</v>
      </c>
      <c r="D285" s="5" t="s">
        <v>42</v>
      </c>
      <c r="E285" s="5" t="s">
        <v>14</v>
      </c>
      <c r="F285" s="5" t="s">
        <v>44</v>
      </c>
      <c r="G285" s="6" t="n">
        <f aca="false">MAX(0,ROUND((TIMEVALUE(F285)-TIMEVALUE(E285))*1440,0)-10)</f>
        <v>0</v>
      </c>
      <c r="H285" s="5" t="str">
        <f aca="false">IF(G285=0,"On Time","LATE ARRIVAL - "&amp;G285&amp;" min")</f>
        <v>On Time</v>
      </c>
    </row>
    <row r="286" customFormat="false" ht="15" hidden="false" customHeight="false" outlineLevel="0" collapsed="false">
      <c r="A286" s="4" t="s">
        <v>96</v>
      </c>
      <c r="B286" s="4" t="s">
        <v>97</v>
      </c>
      <c r="C286" s="4" t="s">
        <v>69</v>
      </c>
      <c r="D286" s="5" t="s">
        <v>43</v>
      </c>
      <c r="E286" s="5" t="s">
        <v>14</v>
      </c>
      <c r="F286" s="5" t="s">
        <v>62</v>
      </c>
      <c r="G286" s="6" t="n">
        <f aca="false">MAX(0,ROUND((TIMEVALUE(F286)-TIMEVALUE(E286))*1440,0)-10)</f>
        <v>0</v>
      </c>
      <c r="H286" s="5" t="str">
        <f aca="false">IF(G286=0,"On Time","LATE ARRIVAL - "&amp;G286&amp;" min")</f>
        <v>On Time</v>
      </c>
    </row>
    <row r="287" customFormat="false" ht="15" hidden="false" customHeight="false" outlineLevel="0" collapsed="false">
      <c r="A287" s="4" t="s">
        <v>96</v>
      </c>
      <c r="B287" s="4" t="s">
        <v>97</v>
      </c>
      <c r="C287" s="4" t="s">
        <v>69</v>
      </c>
      <c r="D287" s="5" t="s">
        <v>45</v>
      </c>
      <c r="E287" s="5" t="s">
        <v>14</v>
      </c>
      <c r="F287" s="5" t="s">
        <v>15</v>
      </c>
      <c r="G287" s="6" t="n">
        <f aca="false">MAX(0,ROUND((TIMEVALUE(F287)-TIMEVALUE(E287))*1440,0)-10)</f>
        <v>0</v>
      </c>
      <c r="H287" s="5" t="str">
        <f aca="false">IF(G287=0,"On Time","LATE ARRIVAL - "&amp;G287&amp;" min")</f>
        <v>On Time</v>
      </c>
    </row>
    <row r="288" customFormat="false" ht="15" hidden="false" customHeight="false" outlineLevel="0" collapsed="false">
      <c r="A288" s="4" t="s">
        <v>96</v>
      </c>
      <c r="B288" s="4" t="s">
        <v>97</v>
      </c>
      <c r="C288" s="4" t="s">
        <v>69</v>
      </c>
      <c r="D288" s="5" t="s">
        <v>47</v>
      </c>
      <c r="E288" s="5" t="s">
        <v>14</v>
      </c>
      <c r="F288" s="5" t="s">
        <v>58</v>
      </c>
      <c r="G288" s="6" t="n">
        <f aca="false">MAX(0,ROUND((TIMEVALUE(F288)-TIMEVALUE(E288))*1440,0)-10)</f>
        <v>0</v>
      </c>
      <c r="H288" s="5" t="str">
        <f aca="false">IF(G288=0,"On Time","LATE ARRIVAL - "&amp;G288&amp;" min")</f>
        <v>On Time</v>
      </c>
    </row>
    <row r="289" customFormat="false" ht="15" hidden="false" customHeight="false" outlineLevel="0" collapsed="false">
      <c r="A289" s="4" t="s">
        <v>96</v>
      </c>
      <c r="B289" s="4" t="s">
        <v>97</v>
      </c>
      <c r="C289" s="4" t="s">
        <v>69</v>
      </c>
      <c r="D289" s="5" t="s">
        <v>48</v>
      </c>
      <c r="E289" s="5" t="s">
        <v>14</v>
      </c>
      <c r="F289" s="5" t="s">
        <v>14</v>
      </c>
      <c r="G289" s="6" t="n">
        <f aca="false">MAX(0,ROUND((TIMEVALUE(F289)-TIMEVALUE(E289))*1440,0)-10)</f>
        <v>0</v>
      </c>
      <c r="H289" s="5" t="str">
        <f aca="false">IF(G289=0,"On Time","LATE ARRIVAL - "&amp;G289&amp;" min")</f>
        <v>On Time</v>
      </c>
    </row>
    <row r="290" customFormat="false" ht="15" hidden="false" customHeight="false" outlineLevel="0" collapsed="false">
      <c r="A290" s="4" t="s">
        <v>96</v>
      </c>
      <c r="B290" s="4" t="s">
        <v>97</v>
      </c>
      <c r="C290" s="4" t="s">
        <v>69</v>
      </c>
      <c r="D290" s="5" t="s">
        <v>50</v>
      </c>
      <c r="E290" s="5" t="s">
        <v>14</v>
      </c>
      <c r="F290" s="5" t="s">
        <v>74</v>
      </c>
      <c r="G290" s="6" t="n">
        <f aca="false">MAX(0,ROUND((TIMEVALUE(F290)-TIMEVALUE(E290))*1440,0)-10)</f>
        <v>18</v>
      </c>
      <c r="H290" s="5" t="str">
        <f aca="false">IF(G290=0,"On Time","LATE ARRIVAL - "&amp;G290&amp;" min")</f>
        <v>LATE ARRIVAL - 18 min</v>
      </c>
    </row>
    <row r="291" customFormat="false" ht="15" hidden="false" customHeight="false" outlineLevel="0" collapsed="false">
      <c r="A291" s="4" t="s">
        <v>98</v>
      </c>
      <c r="B291" s="4" t="s">
        <v>99</v>
      </c>
      <c r="C291" s="4" t="s">
        <v>53</v>
      </c>
      <c r="D291" s="5" t="s">
        <v>13</v>
      </c>
      <c r="E291" s="5" t="s">
        <v>14</v>
      </c>
      <c r="F291" s="5" t="s">
        <v>44</v>
      </c>
      <c r="G291" s="6" t="n">
        <f aca="false">MAX(0,ROUND((TIMEVALUE(F291)-TIMEVALUE(E291))*1440,0)-10)</f>
        <v>0</v>
      </c>
      <c r="H291" s="5" t="str">
        <f aca="false">IF(G291=0,"On Time","LATE ARRIVAL - "&amp;G291&amp;" min")</f>
        <v>On Time</v>
      </c>
    </row>
    <row r="292" customFormat="false" ht="15" hidden="false" customHeight="false" outlineLevel="0" collapsed="false">
      <c r="A292" s="4" t="s">
        <v>98</v>
      </c>
      <c r="B292" s="4" t="s">
        <v>99</v>
      </c>
      <c r="C292" s="4" t="s">
        <v>53</v>
      </c>
      <c r="D292" s="5" t="s">
        <v>16</v>
      </c>
      <c r="E292" s="5" t="s">
        <v>14</v>
      </c>
      <c r="F292" s="5" t="s">
        <v>63</v>
      </c>
      <c r="G292" s="6" t="n">
        <f aca="false">MAX(0,ROUND((TIMEVALUE(F292)-TIMEVALUE(E292))*1440,0)-10)</f>
        <v>0</v>
      </c>
      <c r="H292" s="5" t="str">
        <f aca="false">IF(G292=0,"On Time","LATE ARRIVAL - "&amp;G292&amp;" min")</f>
        <v>On Time</v>
      </c>
    </row>
    <row r="293" customFormat="false" ht="15" hidden="false" customHeight="false" outlineLevel="0" collapsed="false">
      <c r="A293" s="4" t="s">
        <v>98</v>
      </c>
      <c r="B293" s="4" t="s">
        <v>99</v>
      </c>
      <c r="C293" s="4" t="s">
        <v>53</v>
      </c>
      <c r="D293" s="5" t="s">
        <v>18</v>
      </c>
      <c r="E293" s="5" t="s">
        <v>14</v>
      </c>
      <c r="F293" s="5" t="s">
        <v>19</v>
      </c>
      <c r="G293" s="6" t="n">
        <f aca="false">MAX(0,ROUND((TIMEVALUE(F293)-TIMEVALUE(E293))*1440,0)-10)</f>
        <v>0</v>
      </c>
      <c r="H293" s="5" t="str">
        <f aca="false">IF(G293=0,"On Time","LATE ARRIVAL - "&amp;G293&amp;" min")</f>
        <v>On Time</v>
      </c>
    </row>
    <row r="294" customFormat="false" ht="15" hidden="false" customHeight="false" outlineLevel="0" collapsed="false">
      <c r="A294" s="4" t="s">
        <v>98</v>
      </c>
      <c r="B294" s="4" t="s">
        <v>99</v>
      </c>
      <c r="C294" s="4" t="s">
        <v>53</v>
      </c>
      <c r="D294" s="5" t="s">
        <v>20</v>
      </c>
      <c r="E294" s="5" t="s">
        <v>14</v>
      </c>
      <c r="F294" s="5" t="s">
        <v>28</v>
      </c>
      <c r="G294" s="6" t="n">
        <f aca="false">MAX(0,ROUND((TIMEVALUE(F294)-TIMEVALUE(E294))*1440,0)-10)</f>
        <v>0</v>
      </c>
      <c r="H294" s="5" t="str">
        <f aca="false">IF(G294=0,"On Time","LATE ARRIVAL - "&amp;G294&amp;" min")</f>
        <v>On Time</v>
      </c>
    </row>
    <row r="295" customFormat="false" ht="15" hidden="false" customHeight="false" outlineLevel="0" collapsed="false">
      <c r="A295" s="4" t="s">
        <v>98</v>
      </c>
      <c r="B295" s="4" t="s">
        <v>99</v>
      </c>
      <c r="C295" s="4" t="s">
        <v>53</v>
      </c>
      <c r="D295" s="5" t="s">
        <v>21</v>
      </c>
      <c r="E295" s="5" t="s">
        <v>14</v>
      </c>
      <c r="F295" s="5" t="s">
        <v>14</v>
      </c>
      <c r="G295" s="6" t="n">
        <f aca="false">MAX(0,ROUND((TIMEVALUE(F295)-TIMEVALUE(E295))*1440,0)-10)</f>
        <v>0</v>
      </c>
      <c r="H295" s="5" t="str">
        <f aca="false">IF(G295=0,"On Time","LATE ARRIVAL - "&amp;G295&amp;" min")</f>
        <v>On Time</v>
      </c>
    </row>
    <row r="296" customFormat="false" ht="15" hidden="false" customHeight="false" outlineLevel="0" collapsed="false">
      <c r="A296" s="4" t="s">
        <v>98</v>
      </c>
      <c r="B296" s="4" t="s">
        <v>99</v>
      </c>
      <c r="C296" s="4" t="s">
        <v>53</v>
      </c>
      <c r="D296" s="5" t="s">
        <v>23</v>
      </c>
      <c r="E296" s="5" t="s">
        <v>14</v>
      </c>
      <c r="F296" s="5" t="s">
        <v>63</v>
      </c>
      <c r="G296" s="6" t="n">
        <f aca="false">MAX(0,ROUND((TIMEVALUE(F296)-TIMEVALUE(E296))*1440,0)-10)</f>
        <v>0</v>
      </c>
      <c r="H296" s="5" t="str">
        <f aca="false">IF(G296=0,"On Time","LATE ARRIVAL - "&amp;G296&amp;" min")</f>
        <v>On Time</v>
      </c>
    </row>
    <row r="297" customFormat="false" ht="15" hidden="false" customHeight="false" outlineLevel="0" collapsed="false">
      <c r="A297" s="4" t="s">
        <v>98</v>
      </c>
      <c r="B297" s="4" t="s">
        <v>99</v>
      </c>
      <c r="C297" s="4" t="s">
        <v>53</v>
      </c>
      <c r="D297" s="5" t="s">
        <v>25</v>
      </c>
      <c r="E297" s="5" t="s">
        <v>14</v>
      </c>
      <c r="F297" s="5" t="s">
        <v>44</v>
      </c>
      <c r="G297" s="6" t="n">
        <f aca="false">MAX(0,ROUND((TIMEVALUE(F297)-TIMEVALUE(E297))*1440,0)-10)</f>
        <v>0</v>
      </c>
      <c r="H297" s="5" t="str">
        <f aca="false">IF(G297=0,"On Time","LATE ARRIVAL - "&amp;G297&amp;" min")</f>
        <v>On Time</v>
      </c>
    </row>
    <row r="298" customFormat="false" ht="15" hidden="false" customHeight="false" outlineLevel="0" collapsed="false">
      <c r="A298" s="4" t="s">
        <v>98</v>
      </c>
      <c r="B298" s="4" t="s">
        <v>99</v>
      </c>
      <c r="C298" s="4" t="s">
        <v>53</v>
      </c>
      <c r="D298" s="5" t="s">
        <v>27</v>
      </c>
      <c r="E298" s="5" t="s">
        <v>14</v>
      </c>
      <c r="F298" s="5" t="s">
        <v>87</v>
      </c>
      <c r="G298" s="6" t="n">
        <f aca="false">MAX(0,ROUND((TIMEVALUE(F298)-TIMEVALUE(E298))*1440,0)-10)</f>
        <v>0</v>
      </c>
      <c r="H298" s="5" t="str">
        <f aca="false">IF(G298=0,"On Time","LATE ARRIVAL - "&amp;G298&amp;" min")</f>
        <v>On Time</v>
      </c>
    </row>
    <row r="299" customFormat="false" ht="15" hidden="false" customHeight="false" outlineLevel="0" collapsed="false">
      <c r="A299" s="4" t="s">
        <v>98</v>
      </c>
      <c r="B299" s="4" t="s">
        <v>99</v>
      </c>
      <c r="C299" s="4" t="s">
        <v>53</v>
      </c>
      <c r="D299" s="5" t="s">
        <v>29</v>
      </c>
      <c r="E299" s="5" t="s">
        <v>14</v>
      </c>
      <c r="F299" s="5" t="s">
        <v>19</v>
      </c>
      <c r="G299" s="6" t="n">
        <f aca="false">MAX(0,ROUND((TIMEVALUE(F299)-TIMEVALUE(E299))*1440,0)-10)</f>
        <v>0</v>
      </c>
      <c r="H299" s="5" t="str">
        <f aca="false">IF(G299=0,"On Time","LATE ARRIVAL - "&amp;G299&amp;" min")</f>
        <v>On Time</v>
      </c>
    </row>
    <row r="300" customFormat="false" ht="15" hidden="false" customHeight="false" outlineLevel="0" collapsed="false">
      <c r="A300" s="4" t="s">
        <v>98</v>
      </c>
      <c r="B300" s="4" t="s">
        <v>99</v>
      </c>
      <c r="C300" s="4" t="s">
        <v>53</v>
      </c>
      <c r="D300" s="5" t="s">
        <v>30</v>
      </c>
      <c r="E300" s="5" t="s">
        <v>14</v>
      </c>
      <c r="F300" s="5" t="s">
        <v>66</v>
      </c>
      <c r="G300" s="6" t="n">
        <f aca="false">MAX(0,ROUND((TIMEVALUE(F300)-TIMEVALUE(E300))*1440,0)-10)</f>
        <v>0</v>
      </c>
      <c r="H300" s="5" t="str">
        <f aca="false">IF(G300=0,"On Time","LATE ARRIVAL - "&amp;G300&amp;" min")</f>
        <v>On Time</v>
      </c>
    </row>
    <row r="301" customFormat="false" ht="15" hidden="false" customHeight="false" outlineLevel="0" collapsed="false">
      <c r="A301" s="4" t="s">
        <v>98</v>
      </c>
      <c r="B301" s="4" t="s">
        <v>99</v>
      </c>
      <c r="C301" s="4" t="s">
        <v>53</v>
      </c>
      <c r="D301" s="5" t="s">
        <v>32</v>
      </c>
      <c r="E301" s="5" t="s">
        <v>14</v>
      </c>
      <c r="F301" s="5" t="s">
        <v>28</v>
      </c>
      <c r="G301" s="6" t="n">
        <f aca="false">MAX(0,ROUND((TIMEVALUE(F301)-TIMEVALUE(E301))*1440,0)-10)</f>
        <v>0</v>
      </c>
      <c r="H301" s="5" t="str">
        <f aca="false">IF(G301=0,"On Time","LATE ARRIVAL - "&amp;G301&amp;" min")</f>
        <v>On Time</v>
      </c>
    </row>
    <row r="302" customFormat="false" ht="15" hidden="false" customHeight="false" outlineLevel="0" collapsed="false">
      <c r="A302" s="4" t="s">
        <v>98</v>
      </c>
      <c r="B302" s="4" t="s">
        <v>99</v>
      </c>
      <c r="C302" s="4" t="s">
        <v>53</v>
      </c>
      <c r="D302" s="5" t="s">
        <v>33</v>
      </c>
      <c r="E302" s="5" t="s">
        <v>14</v>
      </c>
      <c r="F302" s="5" t="s">
        <v>44</v>
      </c>
      <c r="G302" s="6" t="n">
        <f aca="false">MAX(0,ROUND((TIMEVALUE(F302)-TIMEVALUE(E302))*1440,0)-10)</f>
        <v>0</v>
      </c>
      <c r="H302" s="5" t="str">
        <f aca="false">IF(G302=0,"On Time","LATE ARRIVAL - "&amp;G302&amp;" min")</f>
        <v>On Time</v>
      </c>
    </row>
    <row r="303" customFormat="false" ht="15" hidden="false" customHeight="false" outlineLevel="0" collapsed="false">
      <c r="A303" s="4" t="s">
        <v>98</v>
      </c>
      <c r="B303" s="4" t="s">
        <v>99</v>
      </c>
      <c r="C303" s="4" t="s">
        <v>53</v>
      </c>
      <c r="D303" s="5" t="s">
        <v>35</v>
      </c>
      <c r="E303" s="5" t="s">
        <v>14</v>
      </c>
      <c r="F303" s="5" t="s">
        <v>87</v>
      </c>
      <c r="G303" s="6" t="n">
        <f aca="false">MAX(0,ROUND((TIMEVALUE(F303)-TIMEVALUE(E303))*1440,0)-10)</f>
        <v>0</v>
      </c>
      <c r="H303" s="5" t="str">
        <f aca="false">IF(G303=0,"On Time","LATE ARRIVAL - "&amp;G303&amp;" min")</f>
        <v>On Time</v>
      </c>
    </row>
    <row r="304" customFormat="false" ht="15" hidden="false" customHeight="false" outlineLevel="0" collapsed="false">
      <c r="A304" s="4" t="s">
        <v>98</v>
      </c>
      <c r="B304" s="4" t="s">
        <v>99</v>
      </c>
      <c r="C304" s="4" t="s">
        <v>53</v>
      </c>
      <c r="D304" s="5" t="s">
        <v>36</v>
      </c>
      <c r="E304" s="5" t="s">
        <v>14</v>
      </c>
      <c r="F304" s="5" t="s">
        <v>55</v>
      </c>
      <c r="G304" s="6" t="n">
        <f aca="false">MAX(0,ROUND((TIMEVALUE(F304)-TIMEVALUE(E304))*1440,0)-10)</f>
        <v>40</v>
      </c>
      <c r="H304" s="5" t="str">
        <f aca="false">IF(G304=0,"On Time","LATE ARRIVAL - "&amp;G304&amp;" min")</f>
        <v>LATE ARRIVAL - 40 min</v>
      </c>
    </row>
    <row r="305" customFormat="false" ht="15" hidden="false" customHeight="false" outlineLevel="0" collapsed="false">
      <c r="A305" s="4" t="s">
        <v>98</v>
      </c>
      <c r="B305" s="4" t="s">
        <v>99</v>
      </c>
      <c r="C305" s="4" t="s">
        <v>53</v>
      </c>
      <c r="D305" s="5" t="s">
        <v>38</v>
      </c>
      <c r="E305" s="5" t="s">
        <v>14</v>
      </c>
      <c r="F305" s="5" t="s">
        <v>66</v>
      </c>
      <c r="G305" s="6" t="n">
        <f aca="false">MAX(0,ROUND((TIMEVALUE(F305)-TIMEVALUE(E305))*1440,0)-10)</f>
        <v>0</v>
      </c>
      <c r="H305" s="5" t="str">
        <f aca="false">IF(G305=0,"On Time","LATE ARRIVAL - "&amp;G305&amp;" min")</f>
        <v>On Time</v>
      </c>
    </row>
    <row r="306" customFormat="false" ht="15" hidden="false" customHeight="false" outlineLevel="0" collapsed="false">
      <c r="A306" s="4" t="s">
        <v>98</v>
      </c>
      <c r="B306" s="4" t="s">
        <v>99</v>
      </c>
      <c r="C306" s="4" t="s">
        <v>53</v>
      </c>
      <c r="D306" s="5" t="s">
        <v>40</v>
      </c>
      <c r="E306" s="5" t="s">
        <v>14</v>
      </c>
      <c r="F306" s="5" t="s">
        <v>34</v>
      </c>
      <c r="G306" s="6" t="n">
        <f aca="false">MAX(0,ROUND((TIMEVALUE(F306)-TIMEVALUE(E306))*1440,0)-10)</f>
        <v>0</v>
      </c>
      <c r="H306" s="5" t="str">
        <f aca="false">IF(G306=0,"On Time","LATE ARRIVAL - "&amp;G306&amp;" min")</f>
        <v>On Time</v>
      </c>
    </row>
    <row r="307" customFormat="false" ht="15" hidden="false" customHeight="false" outlineLevel="0" collapsed="false">
      <c r="A307" s="4" t="s">
        <v>98</v>
      </c>
      <c r="B307" s="4" t="s">
        <v>99</v>
      </c>
      <c r="C307" s="4" t="s">
        <v>53</v>
      </c>
      <c r="D307" s="5" t="s">
        <v>42</v>
      </c>
      <c r="E307" s="5" t="s">
        <v>14</v>
      </c>
      <c r="F307" s="5" t="s">
        <v>41</v>
      </c>
      <c r="G307" s="6" t="n">
        <f aca="false">MAX(0,ROUND((TIMEVALUE(F307)-TIMEVALUE(E307))*1440,0)-10)</f>
        <v>0</v>
      </c>
      <c r="H307" s="5" t="str">
        <f aca="false">IF(G307=0,"On Time","LATE ARRIVAL - "&amp;G307&amp;" min")</f>
        <v>On Time</v>
      </c>
    </row>
    <row r="308" customFormat="false" ht="15" hidden="false" customHeight="false" outlineLevel="0" collapsed="false">
      <c r="A308" s="4" t="s">
        <v>98</v>
      </c>
      <c r="B308" s="4" t="s">
        <v>99</v>
      </c>
      <c r="C308" s="4" t="s">
        <v>53</v>
      </c>
      <c r="D308" s="5" t="s">
        <v>43</v>
      </c>
      <c r="E308" s="5" t="s">
        <v>14</v>
      </c>
      <c r="F308" s="5" t="s">
        <v>39</v>
      </c>
      <c r="G308" s="6" t="n">
        <f aca="false">MAX(0,ROUND((TIMEVALUE(F308)-TIMEVALUE(E308))*1440,0)-10)</f>
        <v>0</v>
      </c>
      <c r="H308" s="5" t="str">
        <f aca="false">IF(G308=0,"On Time","LATE ARRIVAL - "&amp;G308&amp;" min")</f>
        <v>On Time</v>
      </c>
    </row>
    <row r="309" customFormat="false" ht="15" hidden="false" customHeight="false" outlineLevel="0" collapsed="false">
      <c r="A309" s="4" t="s">
        <v>98</v>
      </c>
      <c r="B309" s="4" t="s">
        <v>99</v>
      </c>
      <c r="C309" s="4" t="s">
        <v>53</v>
      </c>
      <c r="D309" s="5" t="s">
        <v>45</v>
      </c>
      <c r="E309" s="5" t="s">
        <v>14</v>
      </c>
      <c r="F309" s="5" t="s">
        <v>44</v>
      </c>
      <c r="G309" s="6" t="n">
        <f aca="false">MAX(0,ROUND((TIMEVALUE(F309)-TIMEVALUE(E309))*1440,0)-10)</f>
        <v>0</v>
      </c>
      <c r="H309" s="5" t="str">
        <f aca="false">IF(G309=0,"On Time","LATE ARRIVAL - "&amp;G309&amp;" min")</f>
        <v>On Time</v>
      </c>
    </row>
    <row r="310" customFormat="false" ht="15" hidden="false" customHeight="false" outlineLevel="0" collapsed="false">
      <c r="A310" s="4" t="s">
        <v>98</v>
      </c>
      <c r="B310" s="4" t="s">
        <v>99</v>
      </c>
      <c r="C310" s="4" t="s">
        <v>53</v>
      </c>
      <c r="D310" s="5" t="s">
        <v>47</v>
      </c>
      <c r="E310" s="5" t="s">
        <v>14</v>
      </c>
      <c r="F310" s="5" t="s">
        <v>63</v>
      </c>
      <c r="G310" s="6" t="n">
        <f aca="false">MAX(0,ROUND((TIMEVALUE(F310)-TIMEVALUE(E310))*1440,0)-10)</f>
        <v>0</v>
      </c>
      <c r="H310" s="5" t="str">
        <f aca="false">IF(G310=0,"On Time","LATE ARRIVAL - "&amp;G310&amp;" min")</f>
        <v>On Time</v>
      </c>
    </row>
    <row r="311" customFormat="false" ht="15" hidden="false" customHeight="false" outlineLevel="0" collapsed="false">
      <c r="A311" s="4" t="s">
        <v>98</v>
      </c>
      <c r="B311" s="4" t="s">
        <v>99</v>
      </c>
      <c r="C311" s="4" t="s">
        <v>53</v>
      </c>
      <c r="D311" s="5" t="s">
        <v>48</v>
      </c>
      <c r="E311" s="5" t="s">
        <v>14</v>
      </c>
      <c r="F311" s="5" t="s">
        <v>22</v>
      </c>
      <c r="G311" s="6" t="n">
        <f aca="false">MAX(0,ROUND((TIMEVALUE(F311)-TIMEVALUE(E311))*1440,0)-10)</f>
        <v>0</v>
      </c>
      <c r="H311" s="5" t="str">
        <f aca="false">IF(G311=0,"On Time","LATE ARRIVAL - "&amp;G311&amp;" min")</f>
        <v>On Time</v>
      </c>
    </row>
    <row r="312" customFormat="false" ht="15" hidden="false" customHeight="false" outlineLevel="0" collapsed="false">
      <c r="A312" s="4" t="s">
        <v>98</v>
      </c>
      <c r="B312" s="4" t="s">
        <v>99</v>
      </c>
      <c r="C312" s="4" t="s">
        <v>53</v>
      </c>
      <c r="D312" s="5" t="s">
        <v>50</v>
      </c>
      <c r="E312" s="5" t="s">
        <v>14</v>
      </c>
      <c r="F312" s="5" t="s">
        <v>19</v>
      </c>
      <c r="G312" s="6" t="n">
        <f aca="false">MAX(0,ROUND((TIMEVALUE(F312)-TIMEVALUE(E312))*1440,0)-10)</f>
        <v>0</v>
      </c>
      <c r="H312" s="5" t="str">
        <f aca="false">IF(G312=0,"On Time","LATE ARRIVAL - "&amp;G312&amp;" min")</f>
        <v>On Time</v>
      </c>
    </row>
    <row r="313" customFormat="false" ht="15" hidden="false" customHeight="false" outlineLevel="0" collapsed="false">
      <c r="A313" s="4" t="s">
        <v>100</v>
      </c>
      <c r="B313" s="4" t="s">
        <v>101</v>
      </c>
      <c r="C313" s="4" t="s">
        <v>79</v>
      </c>
      <c r="D313" s="5" t="s">
        <v>13</v>
      </c>
      <c r="E313" s="5" t="s">
        <v>14</v>
      </c>
      <c r="F313" s="5" t="s">
        <v>46</v>
      </c>
      <c r="G313" s="6" t="n">
        <f aca="false">MAX(0,ROUND((TIMEVALUE(F313)-TIMEVALUE(E313))*1440,0)-10)</f>
        <v>0</v>
      </c>
      <c r="H313" s="5" t="str">
        <f aca="false">IF(G313=0,"On Time","LATE ARRIVAL - "&amp;G313&amp;" min")</f>
        <v>On Time</v>
      </c>
    </row>
    <row r="314" customFormat="false" ht="15" hidden="false" customHeight="false" outlineLevel="0" collapsed="false">
      <c r="A314" s="4" t="s">
        <v>100</v>
      </c>
      <c r="B314" s="4" t="s">
        <v>101</v>
      </c>
      <c r="C314" s="4" t="s">
        <v>79</v>
      </c>
      <c r="D314" s="5" t="s">
        <v>16</v>
      </c>
      <c r="E314" s="5" t="s">
        <v>14</v>
      </c>
      <c r="F314" s="5" t="s">
        <v>71</v>
      </c>
      <c r="G314" s="6" t="n">
        <f aca="false">MAX(0,ROUND((TIMEVALUE(F314)-TIMEVALUE(E314))*1440,0)-10)</f>
        <v>5</v>
      </c>
      <c r="H314" s="5" t="str">
        <f aca="false">IF(G314=0,"On Time","LATE ARRIVAL - "&amp;G314&amp;" min")</f>
        <v>LATE ARRIVAL - 5 min</v>
      </c>
    </row>
    <row r="315" customFormat="false" ht="15" hidden="false" customHeight="false" outlineLevel="0" collapsed="false">
      <c r="A315" s="4" t="s">
        <v>100</v>
      </c>
      <c r="B315" s="4" t="s">
        <v>101</v>
      </c>
      <c r="C315" s="4" t="s">
        <v>79</v>
      </c>
      <c r="D315" s="5" t="s">
        <v>18</v>
      </c>
      <c r="E315" s="5" t="s">
        <v>14</v>
      </c>
      <c r="F315" s="5" t="s">
        <v>56</v>
      </c>
      <c r="G315" s="6" t="n">
        <f aca="false">MAX(0,ROUND((TIMEVALUE(F315)-TIMEVALUE(E315))*1440,0)-10)</f>
        <v>0</v>
      </c>
      <c r="H315" s="5" t="str">
        <f aca="false">IF(G315=0,"On Time","LATE ARRIVAL - "&amp;G315&amp;" min")</f>
        <v>On Time</v>
      </c>
    </row>
    <row r="316" customFormat="false" ht="15" hidden="false" customHeight="false" outlineLevel="0" collapsed="false">
      <c r="A316" s="4" t="s">
        <v>100</v>
      </c>
      <c r="B316" s="4" t="s">
        <v>101</v>
      </c>
      <c r="C316" s="4" t="s">
        <v>79</v>
      </c>
      <c r="D316" s="5" t="s">
        <v>20</v>
      </c>
      <c r="E316" s="5" t="s">
        <v>14</v>
      </c>
      <c r="F316" s="5" t="s">
        <v>102</v>
      </c>
      <c r="G316" s="6" t="n">
        <f aca="false">MAX(0,ROUND((TIMEVALUE(F316)-TIMEVALUE(E316))*1440,0)-10)</f>
        <v>1</v>
      </c>
      <c r="H316" s="5" t="str">
        <f aca="false">IF(G316=0,"On Time","LATE ARRIVAL - "&amp;G316&amp;" min")</f>
        <v>LATE ARRIVAL - 1 min</v>
      </c>
    </row>
    <row r="317" customFormat="false" ht="15" hidden="false" customHeight="false" outlineLevel="0" collapsed="false">
      <c r="A317" s="4" t="s">
        <v>100</v>
      </c>
      <c r="B317" s="4" t="s">
        <v>101</v>
      </c>
      <c r="C317" s="4" t="s">
        <v>79</v>
      </c>
      <c r="D317" s="5" t="s">
        <v>21</v>
      </c>
      <c r="E317" s="5" t="s">
        <v>14</v>
      </c>
      <c r="F317" s="5" t="s">
        <v>41</v>
      </c>
      <c r="G317" s="6" t="n">
        <f aca="false">MAX(0,ROUND((TIMEVALUE(F317)-TIMEVALUE(E317))*1440,0)-10)</f>
        <v>0</v>
      </c>
      <c r="H317" s="5" t="str">
        <f aca="false">IF(G317=0,"On Time","LATE ARRIVAL - "&amp;G317&amp;" min")</f>
        <v>On Time</v>
      </c>
    </row>
    <row r="318" customFormat="false" ht="15" hidden="false" customHeight="false" outlineLevel="0" collapsed="false">
      <c r="A318" s="4" t="s">
        <v>100</v>
      </c>
      <c r="B318" s="4" t="s">
        <v>101</v>
      </c>
      <c r="C318" s="4" t="s">
        <v>79</v>
      </c>
      <c r="D318" s="5" t="s">
        <v>23</v>
      </c>
      <c r="E318" s="5" t="s">
        <v>14</v>
      </c>
      <c r="F318" s="5" t="s">
        <v>28</v>
      </c>
      <c r="G318" s="6" t="n">
        <f aca="false">MAX(0,ROUND((TIMEVALUE(F318)-TIMEVALUE(E318))*1440,0)-10)</f>
        <v>0</v>
      </c>
      <c r="H318" s="5" t="str">
        <f aca="false">IF(G318=0,"On Time","LATE ARRIVAL - "&amp;G318&amp;" min")</f>
        <v>On Time</v>
      </c>
    </row>
    <row r="319" customFormat="false" ht="15" hidden="false" customHeight="false" outlineLevel="0" collapsed="false">
      <c r="A319" s="4" t="s">
        <v>100</v>
      </c>
      <c r="B319" s="4" t="s">
        <v>101</v>
      </c>
      <c r="C319" s="4" t="s">
        <v>79</v>
      </c>
      <c r="D319" s="5" t="s">
        <v>25</v>
      </c>
      <c r="E319" s="5" t="s">
        <v>14</v>
      </c>
      <c r="F319" s="5" t="s">
        <v>70</v>
      </c>
      <c r="G319" s="6" t="n">
        <f aca="false">MAX(0,ROUND((TIMEVALUE(F319)-TIMEVALUE(E319))*1440,0)-10)</f>
        <v>8</v>
      </c>
      <c r="H319" s="5" t="str">
        <f aca="false">IF(G319=0,"On Time","LATE ARRIVAL - "&amp;G319&amp;" min")</f>
        <v>LATE ARRIVAL - 8 min</v>
      </c>
    </row>
    <row r="320" customFormat="false" ht="15" hidden="false" customHeight="false" outlineLevel="0" collapsed="false">
      <c r="A320" s="4" t="s">
        <v>100</v>
      </c>
      <c r="B320" s="4" t="s">
        <v>101</v>
      </c>
      <c r="C320" s="4" t="s">
        <v>79</v>
      </c>
      <c r="D320" s="5" t="s">
        <v>27</v>
      </c>
      <c r="E320" s="5" t="s">
        <v>14</v>
      </c>
      <c r="F320" s="5" t="s">
        <v>65</v>
      </c>
      <c r="G320" s="6" t="n">
        <f aca="false">MAX(0,ROUND((TIMEVALUE(F320)-TIMEVALUE(E320))*1440,0)-10)</f>
        <v>0</v>
      </c>
      <c r="H320" s="5" t="str">
        <f aca="false">IF(G320=0,"On Time","LATE ARRIVAL - "&amp;G320&amp;" min")</f>
        <v>On Time</v>
      </c>
    </row>
    <row r="321" customFormat="false" ht="15" hidden="false" customHeight="false" outlineLevel="0" collapsed="false">
      <c r="A321" s="4" t="s">
        <v>100</v>
      </c>
      <c r="B321" s="4" t="s">
        <v>101</v>
      </c>
      <c r="C321" s="4" t="s">
        <v>79</v>
      </c>
      <c r="D321" s="5" t="s">
        <v>29</v>
      </c>
      <c r="E321" s="5" t="s">
        <v>14</v>
      </c>
      <c r="F321" s="5" t="s">
        <v>41</v>
      </c>
      <c r="G321" s="6" t="n">
        <f aca="false">MAX(0,ROUND((TIMEVALUE(F321)-TIMEVALUE(E321))*1440,0)-10)</f>
        <v>0</v>
      </c>
      <c r="H321" s="5" t="str">
        <f aca="false">IF(G321=0,"On Time","LATE ARRIVAL - "&amp;G321&amp;" min")</f>
        <v>On Time</v>
      </c>
    </row>
    <row r="322" customFormat="false" ht="15" hidden="false" customHeight="false" outlineLevel="0" collapsed="false">
      <c r="A322" s="4" t="s">
        <v>100</v>
      </c>
      <c r="B322" s="4" t="s">
        <v>101</v>
      </c>
      <c r="C322" s="4" t="s">
        <v>79</v>
      </c>
      <c r="D322" s="5" t="s">
        <v>30</v>
      </c>
      <c r="E322" s="5" t="s">
        <v>14</v>
      </c>
      <c r="F322" s="5" t="s">
        <v>34</v>
      </c>
      <c r="G322" s="6" t="n">
        <f aca="false">MAX(0,ROUND((TIMEVALUE(F322)-TIMEVALUE(E322))*1440,0)-10)</f>
        <v>0</v>
      </c>
      <c r="H322" s="5" t="str">
        <f aca="false">IF(G322=0,"On Time","LATE ARRIVAL - "&amp;G322&amp;" min")</f>
        <v>On Time</v>
      </c>
    </row>
    <row r="323" customFormat="false" ht="15" hidden="false" customHeight="false" outlineLevel="0" collapsed="false">
      <c r="A323" s="4" t="s">
        <v>100</v>
      </c>
      <c r="B323" s="4" t="s">
        <v>101</v>
      </c>
      <c r="C323" s="4" t="s">
        <v>79</v>
      </c>
      <c r="D323" s="5" t="s">
        <v>32</v>
      </c>
      <c r="E323" s="5" t="s">
        <v>14</v>
      </c>
      <c r="F323" s="5" t="s">
        <v>37</v>
      </c>
      <c r="G323" s="6" t="n">
        <f aca="false">MAX(0,ROUND((TIMEVALUE(F323)-TIMEVALUE(E323))*1440,0)-10)</f>
        <v>0</v>
      </c>
      <c r="H323" s="5" t="str">
        <f aca="false">IF(G323=0,"On Time","LATE ARRIVAL - "&amp;G323&amp;" min")</f>
        <v>On Time</v>
      </c>
    </row>
    <row r="324" customFormat="false" ht="15" hidden="false" customHeight="false" outlineLevel="0" collapsed="false">
      <c r="A324" s="4" t="s">
        <v>100</v>
      </c>
      <c r="B324" s="4" t="s">
        <v>101</v>
      </c>
      <c r="C324" s="4" t="s">
        <v>79</v>
      </c>
      <c r="D324" s="5" t="s">
        <v>33</v>
      </c>
      <c r="E324" s="5" t="s">
        <v>14</v>
      </c>
      <c r="F324" s="5" t="s">
        <v>19</v>
      </c>
      <c r="G324" s="6" t="n">
        <f aca="false">MAX(0,ROUND((TIMEVALUE(F324)-TIMEVALUE(E324))*1440,0)-10)</f>
        <v>0</v>
      </c>
      <c r="H324" s="5" t="str">
        <f aca="false">IF(G324=0,"On Time","LATE ARRIVAL - "&amp;G324&amp;" min")</f>
        <v>On Time</v>
      </c>
    </row>
    <row r="325" customFormat="false" ht="15" hidden="false" customHeight="false" outlineLevel="0" collapsed="false">
      <c r="A325" s="4" t="s">
        <v>100</v>
      </c>
      <c r="B325" s="4" t="s">
        <v>101</v>
      </c>
      <c r="C325" s="4" t="s">
        <v>79</v>
      </c>
      <c r="D325" s="5" t="s">
        <v>35</v>
      </c>
      <c r="E325" s="5" t="s">
        <v>14</v>
      </c>
      <c r="F325" s="5" t="s">
        <v>58</v>
      </c>
      <c r="G325" s="6" t="n">
        <f aca="false">MAX(0,ROUND((TIMEVALUE(F325)-TIMEVALUE(E325))*1440,0)-10)</f>
        <v>0</v>
      </c>
      <c r="H325" s="5" t="str">
        <f aca="false">IF(G325=0,"On Time","LATE ARRIVAL - "&amp;G325&amp;" min")</f>
        <v>On Time</v>
      </c>
    </row>
    <row r="326" customFormat="false" ht="15" hidden="false" customHeight="false" outlineLevel="0" collapsed="false">
      <c r="A326" s="4" t="s">
        <v>100</v>
      </c>
      <c r="B326" s="4" t="s">
        <v>101</v>
      </c>
      <c r="C326" s="4" t="s">
        <v>79</v>
      </c>
      <c r="D326" s="5" t="s">
        <v>36</v>
      </c>
      <c r="E326" s="5" t="s">
        <v>14</v>
      </c>
      <c r="F326" s="5" t="s">
        <v>72</v>
      </c>
      <c r="G326" s="6" t="n">
        <f aca="false">MAX(0,ROUND((TIMEVALUE(F326)-TIMEVALUE(E326))*1440,0)-10)</f>
        <v>0</v>
      </c>
      <c r="H326" s="5" t="str">
        <f aca="false">IF(G326=0,"On Time","LATE ARRIVAL - "&amp;G326&amp;" min")</f>
        <v>On Time</v>
      </c>
    </row>
    <row r="327" customFormat="false" ht="15" hidden="false" customHeight="false" outlineLevel="0" collapsed="false">
      <c r="A327" s="4" t="s">
        <v>100</v>
      </c>
      <c r="B327" s="4" t="s">
        <v>101</v>
      </c>
      <c r="C327" s="4" t="s">
        <v>79</v>
      </c>
      <c r="D327" s="5" t="s">
        <v>38</v>
      </c>
      <c r="E327" s="5" t="s">
        <v>14</v>
      </c>
      <c r="F327" s="5" t="s">
        <v>102</v>
      </c>
      <c r="G327" s="6" t="n">
        <f aca="false">MAX(0,ROUND((TIMEVALUE(F327)-TIMEVALUE(E327))*1440,0)-10)</f>
        <v>1</v>
      </c>
      <c r="H327" s="5" t="str">
        <f aca="false">IF(G327=0,"On Time","LATE ARRIVAL - "&amp;G327&amp;" min")</f>
        <v>LATE ARRIVAL - 1 min</v>
      </c>
    </row>
    <row r="328" customFormat="false" ht="15" hidden="false" customHeight="false" outlineLevel="0" collapsed="false">
      <c r="A328" s="4" t="s">
        <v>100</v>
      </c>
      <c r="B328" s="4" t="s">
        <v>101</v>
      </c>
      <c r="C328" s="4" t="s">
        <v>79</v>
      </c>
      <c r="D328" s="5" t="s">
        <v>40</v>
      </c>
      <c r="E328" s="5" t="s">
        <v>14</v>
      </c>
      <c r="F328" s="5" t="s">
        <v>62</v>
      </c>
      <c r="G328" s="6" t="n">
        <f aca="false">MAX(0,ROUND((TIMEVALUE(F328)-TIMEVALUE(E328))*1440,0)-10)</f>
        <v>0</v>
      </c>
      <c r="H328" s="5" t="str">
        <f aca="false">IF(G328=0,"On Time","LATE ARRIVAL - "&amp;G328&amp;" min")</f>
        <v>On Time</v>
      </c>
    </row>
    <row r="329" customFormat="false" ht="15" hidden="false" customHeight="false" outlineLevel="0" collapsed="false">
      <c r="A329" s="4" t="s">
        <v>100</v>
      </c>
      <c r="B329" s="4" t="s">
        <v>101</v>
      </c>
      <c r="C329" s="4" t="s">
        <v>79</v>
      </c>
      <c r="D329" s="5" t="s">
        <v>42</v>
      </c>
      <c r="E329" s="5" t="s">
        <v>14</v>
      </c>
      <c r="F329" s="5" t="s">
        <v>44</v>
      </c>
      <c r="G329" s="6" t="n">
        <f aca="false">MAX(0,ROUND((TIMEVALUE(F329)-TIMEVALUE(E329))*1440,0)-10)</f>
        <v>0</v>
      </c>
      <c r="H329" s="5" t="str">
        <f aca="false">IF(G329=0,"On Time","LATE ARRIVAL - "&amp;G329&amp;" min")</f>
        <v>On Time</v>
      </c>
    </row>
    <row r="330" customFormat="false" ht="15" hidden="false" customHeight="false" outlineLevel="0" collapsed="false">
      <c r="A330" s="4" t="s">
        <v>100</v>
      </c>
      <c r="B330" s="4" t="s">
        <v>101</v>
      </c>
      <c r="C330" s="4" t="s">
        <v>79</v>
      </c>
      <c r="D330" s="5" t="s">
        <v>43</v>
      </c>
      <c r="E330" s="5" t="s">
        <v>14</v>
      </c>
      <c r="F330" s="5" t="s">
        <v>31</v>
      </c>
      <c r="G330" s="6" t="n">
        <f aca="false">MAX(0,ROUND((TIMEVALUE(F330)-TIMEVALUE(E330))*1440,0)-10)</f>
        <v>0</v>
      </c>
      <c r="H330" s="5" t="str">
        <f aca="false">IF(G330=0,"On Time","LATE ARRIVAL - "&amp;G330&amp;" min")</f>
        <v>On Time</v>
      </c>
    </row>
    <row r="331" customFormat="false" ht="15" hidden="false" customHeight="false" outlineLevel="0" collapsed="false">
      <c r="A331" s="4" t="s">
        <v>100</v>
      </c>
      <c r="B331" s="4" t="s">
        <v>101</v>
      </c>
      <c r="C331" s="4" t="s">
        <v>79</v>
      </c>
      <c r="D331" s="5" t="s">
        <v>45</v>
      </c>
      <c r="E331" s="5" t="s">
        <v>14</v>
      </c>
      <c r="F331" s="5" t="s">
        <v>76</v>
      </c>
      <c r="G331" s="6" t="n">
        <f aca="false">MAX(0,ROUND((TIMEVALUE(F331)-TIMEVALUE(E331))*1440,0)-10)</f>
        <v>35</v>
      </c>
      <c r="H331" s="5" t="str">
        <f aca="false">IF(G331=0,"On Time","LATE ARRIVAL - "&amp;G331&amp;" min")</f>
        <v>LATE ARRIVAL - 35 min</v>
      </c>
    </row>
    <row r="332" customFormat="false" ht="15" hidden="false" customHeight="false" outlineLevel="0" collapsed="false">
      <c r="A332" s="4" t="s">
        <v>100</v>
      </c>
      <c r="B332" s="4" t="s">
        <v>101</v>
      </c>
      <c r="C332" s="4" t="s">
        <v>79</v>
      </c>
      <c r="D332" s="5" t="s">
        <v>47</v>
      </c>
      <c r="E332" s="5" t="s">
        <v>14</v>
      </c>
      <c r="F332" s="5" t="s">
        <v>56</v>
      </c>
      <c r="G332" s="6" t="n">
        <f aca="false">MAX(0,ROUND((TIMEVALUE(F332)-TIMEVALUE(E332))*1440,0)-10)</f>
        <v>0</v>
      </c>
      <c r="H332" s="5" t="str">
        <f aca="false">IF(G332=0,"On Time","LATE ARRIVAL - "&amp;G332&amp;" min")</f>
        <v>On Time</v>
      </c>
    </row>
    <row r="333" customFormat="false" ht="15" hidden="false" customHeight="false" outlineLevel="0" collapsed="false">
      <c r="A333" s="4" t="s">
        <v>100</v>
      </c>
      <c r="B333" s="4" t="s">
        <v>101</v>
      </c>
      <c r="C333" s="4" t="s">
        <v>79</v>
      </c>
      <c r="D333" s="5" t="s">
        <v>48</v>
      </c>
      <c r="E333" s="5" t="s">
        <v>14</v>
      </c>
      <c r="F333" s="5" t="s">
        <v>54</v>
      </c>
      <c r="G333" s="6" t="n">
        <f aca="false">MAX(0,ROUND((TIMEVALUE(F333)-TIMEVALUE(E333))*1440,0)-10)</f>
        <v>15</v>
      </c>
      <c r="H333" s="5" t="str">
        <f aca="false">IF(G333=0,"On Time","LATE ARRIVAL - "&amp;G333&amp;" min")</f>
        <v>LATE ARRIVAL - 15 min</v>
      </c>
    </row>
    <row r="334" customFormat="false" ht="15" hidden="false" customHeight="false" outlineLevel="0" collapsed="false">
      <c r="A334" s="4" t="s">
        <v>100</v>
      </c>
      <c r="B334" s="4" t="s">
        <v>101</v>
      </c>
      <c r="C334" s="4" t="s">
        <v>79</v>
      </c>
      <c r="D334" s="5" t="s">
        <v>50</v>
      </c>
      <c r="E334" s="5" t="s">
        <v>14</v>
      </c>
      <c r="F334" s="5" t="s">
        <v>28</v>
      </c>
      <c r="G334" s="6" t="n">
        <f aca="false">MAX(0,ROUND((TIMEVALUE(F334)-TIMEVALUE(E334))*1440,0)-10)</f>
        <v>0</v>
      </c>
      <c r="H334" s="5" t="str">
        <f aca="false">IF(G334=0,"On Time","LATE ARRIVAL - "&amp;G334&amp;" min")</f>
        <v>On Time</v>
      </c>
    </row>
    <row r="335" customFormat="false" ht="15" hidden="false" customHeight="false" outlineLevel="0" collapsed="false">
      <c r="A335" s="4" t="s">
        <v>103</v>
      </c>
      <c r="B335" s="4" t="s">
        <v>104</v>
      </c>
      <c r="C335" s="4" t="s">
        <v>12</v>
      </c>
      <c r="D335" s="5" t="s">
        <v>13</v>
      </c>
      <c r="E335" s="5" t="s">
        <v>14</v>
      </c>
      <c r="F335" s="5" t="s">
        <v>62</v>
      </c>
      <c r="G335" s="6" t="n">
        <f aca="false">MAX(0,ROUND((TIMEVALUE(F335)-TIMEVALUE(E335))*1440,0)-10)</f>
        <v>0</v>
      </c>
      <c r="H335" s="5" t="str">
        <f aca="false">IF(G335=0,"On Time","LATE ARRIVAL - "&amp;G335&amp;" min")</f>
        <v>On Time</v>
      </c>
    </row>
    <row r="336" customFormat="false" ht="15" hidden="false" customHeight="false" outlineLevel="0" collapsed="false">
      <c r="A336" s="4" t="s">
        <v>103</v>
      </c>
      <c r="B336" s="4" t="s">
        <v>104</v>
      </c>
      <c r="C336" s="4" t="s">
        <v>12</v>
      </c>
      <c r="D336" s="5" t="s">
        <v>16</v>
      </c>
      <c r="E336" s="5" t="s">
        <v>14</v>
      </c>
      <c r="F336" s="5" t="s">
        <v>46</v>
      </c>
      <c r="G336" s="6" t="n">
        <f aca="false">MAX(0,ROUND((TIMEVALUE(F336)-TIMEVALUE(E336))*1440,0)-10)</f>
        <v>0</v>
      </c>
      <c r="H336" s="5" t="str">
        <f aca="false">IF(G336=0,"On Time","LATE ARRIVAL - "&amp;G336&amp;" min")</f>
        <v>On Time</v>
      </c>
    </row>
    <row r="337" customFormat="false" ht="15" hidden="false" customHeight="false" outlineLevel="0" collapsed="false">
      <c r="A337" s="4" t="s">
        <v>103</v>
      </c>
      <c r="B337" s="4" t="s">
        <v>104</v>
      </c>
      <c r="C337" s="4" t="s">
        <v>12</v>
      </c>
      <c r="D337" s="5" t="s">
        <v>18</v>
      </c>
      <c r="E337" s="5" t="s">
        <v>14</v>
      </c>
      <c r="F337" s="5" t="s">
        <v>87</v>
      </c>
      <c r="G337" s="6" t="n">
        <f aca="false">MAX(0,ROUND((TIMEVALUE(F337)-TIMEVALUE(E337))*1440,0)-10)</f>
        <v>0</v>
      </c>
      <c r="H337" s="5" t="str">
        <f aca="false">IF(G337=0,"On Time","LATE ARRIVAL - "&amp;G337&amp;" min")</f>
        <v>On Time</v>
      </c>
    </row>
    <row r="338" customFormat="false" ht="15" hidden="false" customHeight="false" outlineLevel="0" collapsed="false">
      <c r="A338" s="4" t="s">
        <v>103</v>
      </c>
      <c r="B338" s="4" t="s">
        <v>104</v>
      </c>
      <c r="C338" s="4" t="s">
        <v>12</v>
      </c>
      <c r="D338" s="5" t="s">
        <v>20</v>
      </c>
      <c r="E338" s="5" t="s">
        <v>14</v>
      </c>
      <c r="F338" s="5" t="s">
        <v>73</v>
      </c>
      <c r="G338" s="6" t="n">
        <f aca="false">MAX(0,ROUND((TIMEVALUE(F338)-TIMEVALUE(E338))*1440,0)-10)</f>
        <v>0</v>
      </c>
      <c r="H338" s="5" t="str">
        <f aca="false">IF(G338=0,"On Time","LATE ARRIVAL - "&amp;G338&amp;" min")</f>
        <v>On Time</v>
      </c>
    </row>
    <row r="339" customFormat="false" ht="15" hidden="false" customHeight="false" outlineLevel="0" collapsed="false">
      <c r="A339" s="4" t="s">
        <v>103</v>
      </c>
      <c r="B339" s="4" t="s">
        <v>104</v>
      </c>
      <c r="C339" s="4" t="s">
        <v>12</v>
      </c>
      <c r="D339" s="5" t="s">
        <v>21</v>
      </c>
      <c r="E339" s="5" t="s">
        <v>14</v>
      </c>
      <c r="F339" s="5" t="s">
        <v>15</v>
      </c>
      <c r="G339" s="6" t="n">
        <f aca="false">MAX(0,ROUND((TIMEVALUE(F339)-TIMEVALUE(E339))*1440,0)-10)</f>
        <v>0</v>
      </c>
      <c r="H339" s="5" t="str">
        <f aca="false">IF(G339=0,"On Time","LATE ARRIVAL - "&amp;G339&amp;" min")</f>
        <v>On Time</v>
      </c>
    </row>
    <row r="340" customFormat="false" ht="15" hidden="false" customHeight="false" outlineLevel="0" collapsed="false">
      <c r="A340" s="4" t="s">
        <v>103</v>
      </c>
      <c r="B340" s="4" t="s">
        <v>104</v>
      </c>
      <c r="C340" s="4" t="s">
        <v>12</v>
      </c>
      <c r="D340" s="5" t="s">
        <v>23</v>
      </c>
      <c r="E340" s="5" t="s">
        <v>14</v>
      </c>
      <c r="F340" s="5" t="s">
        <v>14</v>
      </c>
      <c r="G340" s="6" t="n">
        <f aca="false">MAX(0,ROUND((TIMEVALUE(F340)-TIMEVALUE(E340))*1440,0)-10)</f>
        <v>0</v>
      </c>
      <c r="H340" s="5" t="str">
        <f aca="false">IF(G340=0,"On Time","LATE ARRIVAL - "&amp;G340&amp;" min")</f>
        <v>On Time</v>
      </c>
    </row>
    <row r="341" customFormat="false" ht="15" hidden="false" customHeight="false" outlineLevel="0" collapsed="false">
      <c r="A341" s="4" t="s">
        <v>103</v>
      </c>
      <c r="B341" s="4" t="s">
        <v>104</v>
      </c>
      <c r="C341" s="4" t="s">
        <v>12</v>
      </c>
      <c r="D341" s="5" t="s">
        <v>25</v>
      </c>
      <c r="E341" s="5" t="s">
        <v>14</v>
      </c>
      <c r="F341" s="5" t="s">
        <v>46</v>
      </c>
      <c r="G341" s="6" t="n">
        <f aca="false">MAX(0,ROUND((TIMEVALUE(F341)-TIMEVALUE(E341))*1440,0)-10)</f>
        <v>0</v>
      </c>
      <c r="H341" s="5" t="str">
        <f aca="false">IF(G341=0,"On Time","LATE ARRIVAL - "&amp;G341&amp;" min")</f>
        <v>On Time</v>
      </c>
    </row>
    <row r="342" customFormat="false" ht="15" hidden="false" customHeight="false" outlineLevel="0" collapsed="false">
      <c r="A342" s="4" t="s">
        <v>103</v>
      </c>
      <c r="B342" s="4" t="s">
        <v>104</v>
      </c>
      <c r="C342" s="4" t="s">
        <v>12</v>
      </c>
      <c r="D342" s="5" t="s">
        <v>27</v>
      </c>
      <c r="E342" s="5" t="s">
        <v>14</v>
      </c>
      <c r="F342" s="5" t="s">
        <v>66</v>
      </c>
      <c r="G342" s="6" t="n">
        <f aca="false">MAX(0,ROUND((TIMEVALUE(F342)-TIMEVALUE(E342))*1440,0)-10)</f>
        <v>0</v>
      </c>
      <c r="H342" s="5" t="str">
        <f aca="false">IF(G342=0,"On Time","LATE ARRIVAL - "&amp;G342&amp;" min")</f>
        <v>On Time</v>
      </c>
    </row>
    <row r="343" customFormat="false" ht="15" hidden="false" customHeight="false" outlineLevel="0" collapsed="false">
      <c r="A343" s="4" t="s">
        <v>103</v>
      </c>
      <c r="B343" s="4" t="s">
        <v>104</v>
      </c>
      <c r="C343" s="4" t="s">
        <v>12</v>
      </c>
      <c r="D343" s="5" t="s">
        <v>29</v>
      </c>
      <c r="E343" s="5" t="s">
        <v>14</v>
      </c>
      <c r="F343" s="5" t="s">
        <v>63</v>
      </c>
      <c r="G343" s="6" t="n">
        <f aca="false">MAX(0,ROUND((TIMEVALUE(F343)-TIMEVALUE(E343))*1440,0)-10)</f>
        <v>0</v>
      </c>
      <c r="H343" s="5" t="str">
        <f aca="false">IF(G343=0,"On Time","LATE ARRIVAL - "&amp;G343&amp;" min")</f>
        <v>On Time</v>
      </c>
    </row>
    <row r="344" customFormat="false" ht="15" hidden="false" customHeight="false" outlineLevel="0" collapsed="false">
      <c r="A344" s="4" t="s">
        <v>103</v>
      </c>
      <c r="B344" s="4" t="s">
        <v>104</v>
      </c>
      <c r="C344" s="4" t="s">
        <v>12</v>
      </c>
      <c r="D344" s="5" t="s">
        <v>30</v>
      </c>
      <c r="E344" s="5" t="s">
        <v>14</v>
      </c>
      <c r="F344" s="5" t="s">
        <v>73</v>
      </c>
      <c r="G344" s="6" t="n">
        <f aca="false">MAX(0,ROUND((TIMEVALUE(F344)-TIMEVALUE(E344))*1440,0)-10)</f>
        <v>0</v>
      </c>
      <c r="H344" s="5" t="str">
        <f aca="false">IF(G344=0,"On Time","LATE ARRIVAL - "&amp;G344&amp;" min")</f>
        <v>On Time</v>
      </c>
    </row>
    <row r="345" customFormat="false" ht="15" hidden="false" customHeight="false" outlineLevel="0" collapsed="false">
      <c r="A345" s="4" t="s">
        <v>103</v>
      </c>
      <c r="B345" s="4" t="s">
        <v>104</v>
      </c>
      <c r="C345" s="4" t="s">
        <v>12</v>
      </c>
      <c r="D345" s="5" t="s">
        <v>32</v>
      </c>
      <c r="E345" s="5" t="s">
        <v>14</v>
      </c>
      <c r="F345" s="5" t="s">
        <v>34</v>
      </c>
      <c r="G345" s="6" t="n">
        <f aca="false">MAX(0,ROUND((TIMEVALUE(F345)-TIMEVALUE(E345))*1440,0)-10)</f>
        <v>0</v>
      </c>
      <c r="H345" s="5" t="str">
        <f aca="false">IF(G345=0,"On Time","LATE ARRIVAL - "&amp;G345&amp;" min")</f>
        <v>On Time</v>
      </c>
    </row>
    <row r="346" customFormat="false" ht="15" hidden="false" customHeight="false" outlineLevel="0" collapsed="false">
      <c r="A346" s="4" t="s">
        <v>103</v>
      </c>
      <c r="B346" s="4" t="s">
        <v>104</v>
      </c>
      <c r="C346" s="4" t="s">
        <v>12</v>
      </c>
      <c r="D346" s="5" t="s">
        <v>33</v>
      </c>
      <c r="E346" s="5" t="s">
        <v>14</v>
      </c>
      <c r="F346" s="5" t="s">
        <v>49</v>
      </c>
      <c r="G346" s="6" t="n">
        <f aca="false">MAX(0,ROUND((TIMEVALUE(F346)-TIMEVALUE(E346))*1440,0)-10)</f>
        <v>0</v>
      </c>
      <c r="H346" s="5" t="str">
        <f aca="false">IF(G346=0,"On Time","LATE ARRIVAL - "&amp;G346&amp;" min")</f>
        <v>On Time</v>
      </c>
    </row>
    <row r="347" customFormat="false" ht="15" hidden="false" customHeight="false" outlineLevel="0" collapsed="false">
      <c r="A347" s="4" t="s">
        <v>103</v>
      </c>
      <c r="B347" s="4" t="s">
        <v>104</v>
      </c>
      <c r="C347" s="4" t="s">
        <v>12</v>
      </c>
      <c r="D347" s="5" t="s">
        <v>35</v>
      </c>
      <c r="E347" s="5" t="s">
        <v>14</v>
      </c>
      <c r="F347" s="5" t="s">
        <v>66</v>
      </c>
      <c r="G347" s="6" t="n">
        <f aca="false">MAX(0,ROUND((TIMEVALUE(F347)-TIMEVALUE(E347))*1440,0)-10)</f>
        <v>0</v>
      </c>
      <c r="H347" s="5" t="str">
        <f aca="false">IF(G347=0,"On Time","LATE ARRIVAL - "&amp;G347&amp;" min")</f>
        <v>On Time</v>
      </c>
    </row>
    <row r="348" customFormat="false" ht="15" hidden="false" customHeight="false" outlineLevel="0" collapsed="false">
      <c r="A348" s="4" t="s">
        <v>103</v>
      </c>
      <c r="B348" s="4" t="s">
        <v>104</v>
      </c>
      <c r="C348" s="4" t="s">
        <v>12</v>
      </c>
      <c r="D348" s="5" t="s">
        <v>36</v>
      </c>
      <c r="E348" s="5" t="s">
        <v>14</v>
      </c>
      <c r="F348" s="5" t="s">
        <v>19</v>
      </c>
      <c r="G348" s="6" t="n">
        <f aca="false">MAX(0,ROUND((TIMEVALUE(F348)-TIMEVALUE(E348))*1440,0)-10)</f>
        <v>0</v>
      </c>
      <c r="H348" s="5" t="str">
        <f aca="false">IF(G348=0,"On Time","LATE ARRIVAL - "&amp;G348&amp;" min")</f>
        <v>On Time</v>
      </c>
    </row>
    <row r="349" customFormat="false" ht="15" hidden="false" customHeight="false" outlineLevel="0" collapsed="false">
      <c r="A349" s="4" t="s">
        <v>103</v>
      </c>
      <c r="B349" s="4" t="s">
        <v>104</v>
      </c>
      <c r="C349" s="4" t="s">
        <v>12</v>
      </c>
      <c r="D349" s="5" t="s">
        <v>38</v>
      </c>
      <c r="E349" s="5" t="s">
        <v>14</v>
      </c>
      <c r="F349" s="5" t="s">
        <v>39</v>
      </c>
      <c r="G349" s="6" t="n">
        <f aca="false">MAX(0,ROUND((TIMEVALUE(F349)-TIMEVALUE(E349))*1440,0)-10)</f>
        <v>0</v>
      </c>
      <c r="H349" s="5" t="str">
        <f aca="false">IF(G349=0,"On Time","LATE ARRIVAL - "&amp;G349&amp;" min")</f>
        <v>On Time</v>
      </c>
    </row>
    <row r="350" customFormat="false" ht="15" hidden="false" customHeight="false" outlineLevel="0" collapsed="false">
      <c r="A350" s="4" t="s">
        <v>103</v>
      </c>
      <c r="B350" s="4" t="s">
        <v>104</v>
      </c>
      <c r="C350" s="4" t="s">
        <v>12</v>
      </c>
      <c r="D350" s="5" t="s">
        <v>40</v>
      </c>
      <c r="E350" s="5" t="s">
        <v>14</v>
      </c>
      <c r="F350" s="5" t="s">
        <v>22</v>
      </c>
      <c r="G350" s="6" t="n">
        <f aca="false">MAX(0,ROUND((TIMEVALUE(F350)-TIMEVALUE(E350))*1440,0)-10)</f>
        <v>0</v>
      </c>
      <c r="H350" s="5" t="str">
        <f aca="false">IF(G350=0,"On Time","LATE ARRIVAL - "&amp;G350&amp;" min")</f>
        <v>On Time</v>
      </c>
    </row>
    <row r="351" customFormat="false" ht="15" hidden="false" customHeight="false" outlineLevel="0" collapsed="false">
      <c r="A351" s="4" t="s">
        <v>103</v>
      </c>
      <c r="B351" s="4" t="s">
        <v>104</v>
      </c>
      <c r="C351" s="4" t="s">
        <v>12</v>
      </c>
      <c r="D351" s="5" t="s">
        <v>42</v>
      </c>
      <c r="E351" s="5" t="s">
        <v>14</v>
      </c>
      <c r="F351" s="5" t="s">
        <v>66</v>
      </c>
      <c r="G351" s="6" t="n">
        <f aca="false">MAX(0,ROUND((TIMEVALUE(F351)-TIMEVALUE(E351))*1440,0)-10)</f>
        <v>0</v>
      </c>
      <c r="H351" s="5" t="str">
        <f aca="false">IF(G351=0,"On Time","LATE ARRIVAL - "&amp;G351&amp;" min")</f>
        <v>On Time</v>
      </c>
    </row>
    <row r="352" customFormat="false" ht="15" hidden="false" customHeight="false" outlineLevel="0" collapsed="false">
      <c r="A352" s="4" t="s">
        <v>103</v>
      </c>
      <c r="B352" s="4" t="s">
        <v>104</v>
      </c>
      <c r="C352" s="4" t="s">
        <v>12</v>
      </c>
      <c r="D352" s="5" t="s">
        <v>43</v>
      </c>
      <c r="E352" s="5" t="s">
        <v>14</v>
      </c>
      <c r="F352" s="5" t="s">
        <v>66</v>
      </c>
      <c r="G352" s="6" t="n">
        <f aca="false">MAX(0,ROUND((TIMEVALUE(F352)-TIMEVALUE(E352))*1440,0)-10)</f>
        <v>0</v>
      </c>
      <c r="H352" s="5" t="str">
        <f aca="false">IF(G352=0,"On Time","LATE ARRIVAL - "&amp;G352&amp;" min")</f>
        <v>On Time</v>
      </c>
    </row>
    <row r="353" customFormat="false" ht="15" hidden="false" customHeight="false" outlineLevel="0" collapsed="false">
      <c r="A353" s="4" t="s">
        <v>103</v>
      </c>
      <c r="B353" s="4" t="s">
        <v>104</v>
      </c>
      <c r="C353" s="4" t="s">
        <v>12</v>
      </c>
      <c r="D353" s="5" t="s">
        <v>45</v>
      </c>
      <c r="E353" s="5" t="s">
        <v>14</v>
      </c>
      <c r="F353" s="5" t="s">
        <v>87</v>
      </c>
      <c r="G353" s="6" t="n">
        <f aca="false">MAX(0,ROUND((TIMEVALUE(F353)-TIMEVALUE(E353))*1440,0)-10)</f>
        <v>0</v>
      </c>
      <c r="H353" s="5" t="str">
        <f aca="false">IF(G353=0,"On Time","LATE ARRIVAL - "&amp;G353&amp;" min")</f>
        <v>On Time</v>
      </c>
    </row>
    <row r="354" customFormat="false" ht="15" hidden="false" customHeight="false" outlineLevel="0" collapsed="false">
      <c r="A354" s="4" t="s">
        <v>103</v>
      </c>
      <c r="B354" s="4" t="s">
        <v>104</v>
      </c>
      <c r="C354" s="4" t="s">
        <v>12</v>
      </c>
      <c r="D354" s="5" t="s">
        <v>47</v>
      </c>
      <c r="E354" s="5" t="s">
        <v>14</v>
      </c>
      <c r="F354" s="5" t="s">
        <v>15</v>
      </c>
      <c r="G354" s="6" t="n">
        <f aca="false">MAX(0,ROUND((TIMEVALUE(F354)-TIMEVALUE(E354))*1440,0)-10)</f>
        <v>0</v>
      </c>
      <c r="H354" s="5" t="str">
        <f aca="false">IF(G354=0,"On Time","LATE ARRIVAL - "&amp;G354&amp;" min")</f>
        <v>On Time</v>
      </c>
    </row>
    <row r="355" customFormat="false" ht="15" hidden="false" customHeight="false" outlineLevel="0" collapsed="false">
      <c r="A355" s="4" t="s">
        <v>103</v>
      </c>
      <c r="B355" s="4" t="s">
        <v>104</v>
      </c>
      <c r="C355" s="4" t="s">
        <v>12</v>
      </c>
      <c r="D355" s="5" t="s">
        <v>48</v>
      </c>
      <c r="E355" s="5" t="s">
        <v>14</v>
      </c>
      <c r="F355" s="5" t="s">
        <v>39</v>
      </c>
      <c r="G355" s="6" t="n">
        <f aca="false">MAX(0,ROUND((TIMEVALUE(F355)-TIMEVALUE(E355))*1440,0)-10)</f>
        <v>0</v>
      </c>
      <c r="H355" s="5" t="str">
        <f aca="false">IF(G355=0,"On Time","LATE ARRIVAL - "&amp;G355&amp;" min")</f>
        <v>On Time</v>
      </c>
    </row>
    <row r="356" customFormat="false" ht="15" hidden="false" customHeight="false" outlineLevel="0" collapsed="false">
      <c r="A356" s="4" t="s">
        <v>103</v>
      </c>
      <c r="B356" s="4" t="s">
        <v>104</v>
      </c>
      <c r="C356" s="4" t="s">
        <v>12</v>
      </c>
      <c r="D356" s="5" t="s">
        <v>50</v>
      </c>
      <c r="E356" s="5" t="s">
        <v>14</v>
      </c>
      <c r="F356" s="5" t="s">
        <v>41</v>
      </c>
      <c r="G356" s="6" t="n">
        <f aca="false">MAX(0,ROUND((TIMEVALUE(F356)-TIMEVALUE(E356))*1440,0)-10)</f>
        <v>0</v>
      </c>
      <c r="H356" s="5" t="str">
        <f aca="false">IF(G356=0,"On Time","LATE ARRIVAL - "&amp;G356&amp;" min")</f>
        <v>On Time</v>
      </c>
    </row>
    <row r="357" customFormat="false" ht="15" hidden="false" customHeight="false" outlineLevel="0" collapsed="false">
      <c r="A357" s="4" t="s">
        <v>105</v>
      </c>
      <c r="B357" s="4" t="s">
        <v>106</v>
      </c>
      <c r="C357" s="4" t="s">
        <v>61</v>
      </c>
      <c r="D357" s="5" t="s">
        <v>13</v>
      </c>
      <c r="E357" s="5" t="s">
        <v>14</v>
      </c>
      <c r="F357" s="5" t="s">
        <v>34</v>
      </c>
      <c r="G357" s="6" t="n">
        <f aca="false">MAX(0,ROUND((TIMEVALUE(F357)-TIMEVALUE(E357))*1440,0)-10)</f>
        <v>0</v>
      </c>
      <c r="H357" s="5" t="str">
        <f aca="false">IF(G357=0,"On Time","LATE ARRIVAL - "&amp;G357&amp;" min")</f>
        <v>On Time</v>
      </c>
    </row>
    <row r="358" customFormat="false" ht="15" hidden="false" customHeight="false" outlineLevel="0" collapsed="false">
      <c r="A358" s="4" t="s">
        <v>105</v>
      </c>
      <c r="B358" s="4" t="s">
        <v>106</v>
      </c>
      <c r="C358" s="4" t="s">
        <v>61</v>
      </c>
      <c r="D358" s="5" t="s">
        <v>16</v>
      </c>
      <c r="E358" s="5" t="s">
        <v>14</v>
      </c>
      <c r="F358" s="5" t="s">
        <v>28</v>
      </c>
      <c r="G358" s="6" t="n">
        <f aca="false">MAX(0,ROUND((TIMEVALUE(F358)-TIMEVALUE(E358))*1440,0)-10)</f>
        <v>0</v>
      </c>
      <c r="H358" s="5" t="str">
        <f aca="false">IF(G358=0,"On Time","LATE ARRIVAL - "&amp;G358&amp;" min")</f>
        <v>On Time</v>
      </c>
    </row>
    <row r="359" customFormat="false" ht="15" hidden="false" customHeight="false" outlineLevel="0" collapsed="false">
      <c r="A359" s="4" t="s">
        <v>105</v>
      </c>
      <c r="B359" s="4" t="s">
        <v>106</v>
      </c>
      <c r="C359" s="4" t="s">
        <v>61</v>
      </c>
      <c r="D359" s="5" t="s">
        <v>18</v>
      </c>
      <c r="E359" s="5" t="s">
        <v>14</v>
      </c>
      <c r="F359" s="5" t="s">
        <v>34</v>
      </c>
      <c r="G359" s="6" t="n">
        <f aca="false">MAX(0,ROUND((TIMEVALUE(F359)-TIMEVALUE(E359))*1440,0)-10)</f>
        <v>0</v>
      </c>
      <c r="H359" s="5" t="str">
        <f aca="false">IF(G359=0,"On Time","LATE ARRIVAL - "&amp;G359&amp;" min")</f>
        <v>On Time</v>
      </c>
    </row>
    <row r="360" customFormat="false" ht="15" hidden="false" customHeight="false" outlineLevel="0" collapsed="false">
      <c r="A360" s="4" t="s">
        <v>105</v>
      </c>
      <c r="B360" s="4" t="s">
        <v>106</v>
      </c>
      <c r="C360" s="4" t="s">
        <v>61</v>
      </c>
      <c r="D360" s="5" t="s">
        <v>20</v>
      </c>
      <c r="E360" s="5" t="s">
        <v>14</v>
      </c>
      <c r="F360" s="5" t="s">
        <v>73</v>
      </c>
      <c r="G360" s="6" t="n">
        <f aca="false">MAX(0,ROUND((TIMEVALUE(F360)-TIMEVALUE(E360))*1440,0)-10)</f>
        <v>0</v>
      </c>
      <c r="H360" s="5" t="str">
        <f aca="false">IF(G360=0,"On Time","LATE ARRIVAL - "&amp;G360&amp;" min")</f>
        <v>On Time</v>
      </c>
    </row>
    <row r="361" customFormat="false" ht="15" hidden="false" customHeight="false" outlineLevel="0" collapsed="false">
      <c r="A361" s="4" t="s">
        <v>105</v>
      </c>
      <c r="B361" s="4" t="s">
        <v>106</v>
      </c>
      <c r="C361" s="4" t="s">
        <v>61</v>
      </c>
      <c r="D361" s="5" t="s">
        <v>21</v>
      </c>
      <c r="E361" s="5" t="s">
        <v>14</v>
      </c>
      <c r="F361" s="5" t="s">
        <v>22</v>
      </c>
      <c r="G361" s="6" t="n">
        <f aca="false">MAX(0,ROUND((TIMEVALUE(F361)-TIMEVALUE(E361))*1440,0)-10)</f>
        <v>0</v>
      </c>
      <c r="H361" s="5" t="str">
        <f aca="false">IF(G361=0,"On Time","LATE ARRIVAL - "&amp;G361&amp;" min")</f>
        <v>On Time</v>
      </c>
    </row>
    <row r="362" customFormat="false" ht="15" hidden="false" customHeight="false" outlineLevel="0" collapsed="false">
      <c r="A362" s="4" t="s">
        <v>105</v>
      </c>
      <c r="B362" s="4" t="s">
        <v>106</v>
      </c>
      <c r="C362" s="4" t="s">
        <v>61</v>
      </c>
      <c r="D362" s="5" t="s">
        <v>23</v>
      </c>
      <c r="E362" s="5" t="s">
        <v>14</v>
      </c>
      <c r="F362" s="5" t="s">
        <v>63</v>
      </c>
      <c r="G362" s="6" t="n">
        <f aca="false">MAX(0,ROUND((TIMEVALUE(F362)-TIMEVALUE(E362))*1440,0)-10)</f>
        <v>0</v>
      </c>
      <c r="H362" s="5" t="str">
        <f aca="false">IF(G362=0,"On Time","LATE ARRIVAL - "&amp;G362&amp;" min")</f>
        <v>On Time</v>
      </c>
    </row>
    <row r="363" customFormat="false" ht="15" hidden="false" customHeight="false" outlineLevel="0" collapsed="false">
      <c r="A363" s="4" t="s">
        <v>105</v>
      </c>
      <c r="B363" s="4" t="s">
        <v>106</v>
      </c>
      <c r="C363" s="4" t="s">
        <v>61</v>
      </c>
      <c r="D363" s="5" t="s">
        <v>25</v>
      </c>
      <c r="E363" s="5" t="s">
        <v>14</v>
      </c>
      <c r="F363" s="5" t="s">
        <v>58</v>
      </c>
      <c r="G363" s="6" t="n">
        <f aca="false">MAX(0,ROUND((TIMEVALUE(F363)-TIMEVALUE(E363))*1440,0)-10)</f>
        <v>0</v>
      </c>
      <c r="H363" s="5" t="str">
        <f aca="false">IF(G363=0,"On Time","LATE ARRIVAL - "&amp;G363&amp;" min")</f>
        <v>On Time</v>
      </c>
    </row>
    <row r="364" customFormat="false" ht="15" hidden="false" customHeight="false" outlineLevel="0" collapsed="false">
      <c r="A364" s="4" t="s">
        <v>105</v>
      </c>
      <c r="B364" s="4" t="s">
        <v>106</v>
      </c>
      <c r="C364" s="4" t="s">
        <v>61</v>
      </c>
      <c r="D364" s="5" t="s">
        <v>27</v>
      </c>
      <c r="E364" s="5" t="s">
        <v>14</v>
      </c>
      <c r="F364" s="5" t="s">
        <v>14</v>
      </c>
      <c r="G364" s="6" t="n">
        <f aca="false">MAX(0,ROUND((TIMEVALUE(F364)-TIMEVALUE(E364))*1440,0)-10)</f>
        <v>0</v>
      </c>
      <c r="H364" s="5" t="str">
        <f aca="false">IF(G364=0,"On Time","LATE ARRIVAL - "&amp;G364&amp;" min")</f>
        <v>On Time</v>
      </c>
    </row>
    <row r="365" customFormat="false" ht="15" hidden="false" customHeight="false" outlineLevel="0" collapsed="false">
      <c r="A365" s="4" t="s">
        <v>105</v>
      </c>
      <c r="B365" s="4" t="s">
        <v>106</v>
      </c>
      <c r="C365" s="4" t="s">
        <v>61</v>
      </c>
      <c r="D365" s="5" t="s">
        <v>29</v>
      </c>
      <c r="E365" s="5" t="s">
        <v>14</v>
      </c>
      <c r="F365" s="5" t="s">
        <v>14</v>
      </c>
      <c r="G365" s="6" t="n">
        <f aca="false">MAX(0,ROUND((TIMEVALUE(F365)-TIMEVALUE(E365))*1440,0)-10)</f>
        <v>0</v>
      </c>
      <c r="H365" s="5" t="str">
        <f aca="false">IF(G365=0,"On Time","LATE ARRIVAL - "&amp;G365&amp;" min")</f>
        <v>On Time</v>
      </c>
    </row>
    <row r="366" customFormat="false" ht="15" hidden="false" customHeight="false" outlineLevel="0" collapsed="false">
      <c r="A366" s="4" t="s">
        <v>105</v>
      </c>
      <c r="B366" s="4" t="s">
        <v>106</v>
      </c>
      <c r="C366" s="4" t="s">
        <v>61</v>
      </c>
      <c r="D366" s="5" t="s">
        <v>30</v>
      </c>
      <c r="E366" s="5" t="s">
        <v>14</v>
      </c>
      <c r="F366" s="5" t="s">
        <v>15</v>
      </c>
      <c r="G366" s="6" t="n">
        <f aca="false">MAX(0,ROUND((TIMEVALUE(F366)-TIMEVALUE(E366))*1440,0)-10)</f>
        <v>0</v>
      </c>
      <c r="H366" s="5" t="str">
        <f aca="false">IF(G366=0,"On Time","LATE ARRIVAL - "&amp;G366&amp;" min")</f>
        <v>On Time</v>
      </c>
    </row>
    <row r="367" customFormat="false" ht="15" hidden="false" customHeight="false" outlineLevel="0" collapsed="false">
      <c r="A367" s="4" t="s">
        <v>105</v>
      </c>
      <c r="B367" s="4" t="s">
        <v>106</v>
      </c>
      <c r="C367" s="4" t="s">
        <v>61</v>
      </c>
      <c r="D367" s="5" t="s">
        <v>32</v>
      </c>
      <c r="E367" s="5" t="s">
        <v>14</v>
      </c>
      <c r="F367" s="5" t="s">
        <v>17</v>
      </c>
      <c r="G367" s="6" t="n">
        <f aca="false">MAX(0,ROUND((TIMEVALUE(F367)-TIMEVALUE(E367))*1440,0)-10)</f>
        <v>0</v>
      </c>
      <c r="H367" s="5" t="str">
        <f aca="false">IF(G367=0,"On Time","LATE ARRIVAL - "&amp;G367&amp;" min")</f>
        <v>On Time</v>
      </c>
    </row>
    <row r="368" customFormat="false" ht="15" hidden="false" customHeight="false" outlineLevel="0" collapsed="false">
      <c r="A368" s="4" t="s">
        <v>105</v>
      </c>
      <c r="B368" s="4" t="s">
        <v>106</v>
      </c>
      <c r="C368" s="4" t="s">
        <v>61</v>
      </c>
      <c r="D368" s="5" t="s">
        <v>33</v>
      </c>
      <c r="E368" s="5" t="s">
        <v>14</v>
      </c>
      <c r="F368" s="5" t="s">
        <v>17</v>
      </c>
      <c r="G368" s="6" t="n">
        <f aca="false">MAX(0,ROUND((TIMEVALUE(F368)-TIMEVALUE(E368))*1440,0)-10)</f>
        <v>0</v>
      </c>
      <c r="H368" s="5" t="str">
        <f aca="false">IF(G368=0,"On Time","LATE ARRIVAL - "&amp;G368&amp;" min")</f>
        <v>On Time</v>
      </c>
    </row>
    <row r="369" customFormat="false" ht="15" hidden="false" customHeight="false" outlineLevel="0" collapsed="false">
      <c r="A369" s="4" t="s">
        <v>105</v>
      </c>
      <c r="B369" s="4" t="s">
        <v>106</v>
      </c>
      <c r="C369" s="4" t="s">
        <v>61</v>
      </c>
      <c r="D369" s="5" t="s">
        <v>35</v>
      </c>
      <c r="E369" s="5" t="s">
        <v>14</v>
      </c>
      <c r="F369" s="5" t="s">
        <v>62</v>
      </c>
      <c r="G369" s="6" t="n">
        <f aca="false">MAX(0,ROUND((TIMEVALUE(F369)-TIMEVALUE(E369))*1440,0)-10)</f>
        <v>0</v>
      </c>
      <c r="H369" s="5" t="str">
        <f aca="false">IF(G369=0,"On Time","LATE ARRIVAL - "&amp;G369&amp;" min")</f>
        <v>On Time</v>
      </c>
    </row>
    <row r="370" customFormat="false" ht="15" hidden="false" customHeight="false" outlineLevel="0" collapsed="false">
      <c r="A370" s="4" t="s">
        <v>105</v>
      </c>
      <c r="B370" s="4" t="s">
        <v>106</v>
      </c>
      <c r="C370" s="4" t="s">
        <v>61</v>
      </c>
      <c r="D370" s="5" t="s">
        <v>36</v>
      </c>
      <c r="E370" s="5" t="s">
        <v>14</v>
      </c>
      <c r="F370" s="5" t="s">
        <v>49</v>
      </c>
      <c r="G370" s="6" t="n">
        <f aca="false">MAX(0,ROUND((TIMEVALUE(F370)-TIMEVALUE(E370))*1440,0)-10)</f>
        <v>0</v>
      </c>
      <c r="H370" s="5" t="str">
        <f aca="false">IF(G370=0,"On Time","LATE ARRIVAL - "&amp;G370&amp;" min")</f>
        <v>On Time</v>
      </c>
    </row>
    <row r="371" customFormat="false" ht="15" hidden="false" customHeight="false" outlineLevel="0" collapsed="false">
      <c r="A371" s="4" t="s">
        <v>105</v>
      </c>
      <c r="B371" s="4" t="s">
        <v>106</v>
      </c>
      <c r="C371" s="4" t="s">
        <v>61</v>
      </c>
      <c r="D371" s="5" t="s">
        <v>38</v>
      </c>
      <c r="E371" s="5" t="s">
        <v>14</v>
      </c>
      <c r="F371" s="5" t="s">
        <v>63</v>
      </c>
      <c r="G371" s="6" t="n">
        <f aca="false">MAX(0,ROUND((TIMEVALUE(F371)-TIMEVALUE(E371))*1440,0)-10)</f>
        <v>0</v>
      </c>
      <c r="H371" s="5" t="str">
        <f aca="false">IF(G371=0,"On Time","LATE ARRIVAL - "&amp;G371&amp;" min")</f>
        <v>On Time</v>
      </c>
    </row>
    <row r="372" customFormat="false" ht="15" hidden="false" customHeight="false" outlineLevel="0" collapsed="false">
      <c r="A372" s="4" t="s">
        <v>105</v>
      </c>
      <c r="B372" s="4" t="s">
        <v>106</v>
      </c>
      <c r="C372" s="4" t="s">
        <v>61</v>
      </c>
      <c r="D372" s="5" t="s">
        <v>40</v>
      </c>
      <c r="E372" s="5" t="s">
        <v>14</v>
      </c>
      <c r="F372" s="5" t="s">
        <v>49</v>
      </c>
      <c r="G372" s="6" t="n">
        <f aca="false">MAX(0,ROUND((TIMEVALUE(F372)-TIMEVALUE(E372))*1440,0)-10)</f>
        <v>0</v>
      </c>
      <c r="H372" s="5" t="str">
        <f aca="false">IF(G372=0,"On Time","LATE ARRIVAL - "&amp;G372&amp;" min")</f>
        <v>On Time</v>
      </c>
    </row>
    <row r="373" customFormat="false" ht="15" hidden="false" customHeight="false" outlineLevel="0" collapsed="false">
      <c r="A373" s="4" t="s">
        <v>105</v>
      </c>
      <c r="B373" s="4" t="s">
        <v>106</v>
      </c>
      <c r="C373" s="4" t="s">
        <v>61</v>
      </c>
      <c r="D373" s="5" t="s">
        <v>42</v>
      </c>
      <c r="E373" s="5" t="s">
        <v>14</v>
      </c>
      <c r="F373" s="5" t="s">
        <v>31</v>
      </c>
      <c r="G373" s="6" t="n">
        <f aca="false">MAX(0,ROUND((TIMEVALUE(F373)-TIMEVALUE(E373))*1440,0)-10)</f>
        <v>0</v>
      </c>
      <c r="H373" s="5" t="str">
        <f aca="false">IF(G373=0,"On Time","LATE ARRIVAL - "&amp;G373&amp;" min")</f>
        <v>On Time</v>
      </c>
    </row>
    <row r="374" customFormat="false" ht="15" hidden="false" customHeight="false" outlineLevel="0" collapsed="false">
      <c r="A374" s="4" t="s">
        <v>105</v>
      </c>
      <c r="B374" s="4" t="s">
        <v>106</v>
      </c>
      <c r="C374" s="4" t="s">
        <v>61</v>
      </c>
      <c r="D374" s="5" t="s">
        <v>43</v>
      </c>
      <c r="E374" s="5" t="s">
        <v>14</v>
      </c>
      <c r="F374" s="5" t="s">
        <v>72</v>
      </c>
      <c r="G374" s="6" t="n">
        <f aca="false">MAX(0,ROUND((TIMEVALUE(F374)-TIMEVALUE(E374))*1440,0)-10)</f>
        <v>0</v>
      </c>
      <c r="H374" s="5" t="str">
        <f aca="false">IF(G374=0,"On Time","LATE ARRIVAL - "&amp;G374&amp;" min")</f>
        <v>On Time</v>
      </c>
    </row>
    <row r="375" customFormat="false" ht="15" hidden="false" customHeight="false" outlineLevel="0" collapsed="false">
      <c r="A375" s="4" t="s">
        <v>105</v>
      </c>
      <c r="B375" s="4" t="s">
        <v>106</v>
      </c>
      <c r="C375" s="4" t="s">
        <v>61</v>
      </c>
      <c r="D375" s="5" t="s">
        <v>45</v>
      </c>
      <c r="E375" s="5" t="s">
        <v>14</v>
      </c>
      <c r="F375" s="5" t="s">
        <v>65</v>
      </c>
      <c r="G375" s="6" t="n">
        <f aca="false">MAX(0,ROUND((TIMEVALUE(F375)-TIMEVALUE(E375))*1440,0)-10)</f>
        <v>0</v>
      </c>
      <c r="H375" s="5" t="str">
        <f aca="false">IF(G375=0,"On Time","LATE ARRIVAL - "&amp;G375&amp;" min")</f>
        <v>On Time</v>
      </c>
    </row>
    <row r="376" customFormat="false" ht="15" hidden="false" customHeight="false" outlineLevel="0" collapsed="false">
      <c r="A376" s="4" t="s">
        <v>105</v>
      </c>
      <c r="B376" s="4" t="s">
        <v>106</v>
      </c>
      <c r="C376" s="4" t="s">
        <v>61</v>
      </c>
      <c r="D376" s="5" t="s">
        <v>47</v>
      </c>
      <c r="E376" s="5" t="s">
        <v>14</v>
      </c>
      <c r="F376" s="5" t="s">
        <v>39</v>
      </c>
      <c r="G376" s="6" t="n">
        <f aca="false">MAX(0,ROUND((TIMEVALUE(F376)-TIMEVALUE(E376))*1440,0)-10)</f>
        <v>0</v>
      </c>
      <c r="H376" s="5" t="str">
        <f aca="false">IF(G376=0,"On Time","LATE ARRIVAL - "&amp;G376&amp;" min")</f>
        <v>On Time</v>
      </c>
    </row>
    <row r="377" customFormat="false" ht="15" hidden="false" customHeight="false" outlineLevel="0" collapsed="false">
      <c r="A377" s="4" t="s">
        <v>105</v>
      </c>
      <c r="B377" s="4" t="s">
        <v>106</v>
      </c>
      <c r="C377" s="4" t="s">
        <v>61</v>
      </c>
      <c r="D377" s="5" t="s">
        <v>48</v>
      </c>
      <c r="E377" s="5" t="s">
        <v>14</v>
      </c>
      <c r="F377" s="5" t="s">
        <v>49</v>
      </c>
      <c r="G377" s="6" t="n">
        <f aca="false">MAX(0,ROUND((TIMEVALUE(F377)-TIMEVALUE(E377))*1440,0)-10)</f>
        <v>0</v>
      </c>
      <c r="H377" s="5" t="str">
        <f aca="false">IF(G377=0,"On Time","LATE ARRIVAL - "&amp;G377&amp;" min")</f>
        <v>On Time</v>
      </c>
    </row>
    <row r="378" customFormat="false" ht="15" hidden="false" customHeight="false" outlineLevel="0" collapsed="false">
      <c r="A378" s="4" t="s">
        <v>105</v>
      </c>
      <c r="B378" s="4" t="s">
        <v>106</v>
      </c>
      <c r="C378" s="4" t="s">
        <v>61</v>
      </c>
      <c r="D378" s="5" t="s">
        <v>50</v>
      </c>
      <c r="E378" s="5" t="s">
        <v>14</v>
      </c>
      <c r="F378" s="5" t="s">
        <v>31</v>
      </c>
      <c r="G378" s="6" t="n">
        <f aca="false">MAX(0,ROUND((TIMEVALUE(F378)-TIMEVALUE(E378))*1440,0)-10)</f>
        <v>0</v>
      </c>
      <c r="H378" s="5" t="str">
        <f aca="false">IF(G378=0,"On Time","LATE ARRIVAL - "&amp;G378&amp;" min")</f>
        <v>On Time</v>
      </c>
    </row>
    <row r="379" customFormat="false" ht="15" hidden="false" customHeight="false" outlineLevel="0" collapsed="false">
      <c r="A379" s="4" t="s">
        <v>107</v>
      </c>
      <c r="B379" s="4" t="s">
        <v>108</v>
      </c>
      <c r="C379" s="4" t="s">
        <v>69</v>
      </c>
      <c r="D379" s="5" t="s">
        <v>13</v>
      </c>
      <c r="E379" s="5" t="s">
        <v>14</v>
      </c>
      <c r="F379" s="5" t="s">
        <v>41</v>
      </c>
      <c r="G379" s="6" t="n">
        <f aca="false">MAX(0,ROUND((TIMEVALUE(F379)-TIMEVALUE(E379))*1440,0)-10)</f>
        <v>0</v>
      </c>
      <c r="H379" s="5" t="str">
        <f aca="false">IF(G379=0,"On Time","LATE ARRIVAL - "&amp;G379&amp;" min")</f>
        <v>On Time</v>
      </c>
    </row>
    <row r="380" customFormat="false" ht="15" hidden="false" customHeight="false" outlineLevel="0" collapsed="false">
      <c r="A380" s="4" t="s">
        <v>107</v>
      </c>
      <c r="B380" s="4" t="s">
        <v>108</v>
      </c>
      <c r="C380" s="4" t="s">
        <v>69</v>
      </c>
      <c r="D380" s="5" t="s">
        <v>16</v>
      </c>
      <c r="E380" s="5" t="s">
        <v>14</v>
      </c>
      <c r="F380" s="5" t="s">
        <v>34</v>
      </c>
      <c r="G380" s="6" t="n">
        <f aca="false">MAX(0,ROUND((TIMEVALUE(F380)-TIMEVALUE(E380))*1440,0)-10)</f>
        <v>0</v>
      </c>
      <c r="H380" s="5" t="str">
        <f aca="false">IF(G380=0,"On Time","LATE ARRIVAL - "&amp;G380&amp;" min")</f>
        <v>On Time</v>
      </c>
    </row>
    <row r="381" customFormat="false" ht="15" hidden="false" customHeight="false" outlineLevel="0" collapsed="false">
      <c r="A381" s="4" t="s">
        <v>107</v>
      </c>
      <c r="B381" s="4" t="s">
        <v>108</v>
      </c>
      <c r="C381" s="4" t="s">
        <v>69</v>
      </c>
      <c r="D381" s="5" t="s">
        <v>18</v>
      </c>
      <c r="E381" s="5" t="s">
        <v>14</v>
      </c>
      <c r="F381" s="5" t="s">
        <v>58</v>
      </c>
      <c r="G381" s="6" t="n">
        <f aca="false">MAX(0,ROUND((TIMEVALUE(F381)-TIMEVALUE(E381))*1440,0)-10)</f>
        <v>0</v>
      </c>
      <c r="H381" s="5" t="str">
        <f aca="false">IF(G381=0,"On Time","LATE ARRIVAL - "&amp;G381&amp;" min")</f>
        <v>On Time</v>
      </c>
    </row>
    <row r="382" customFormat="false" ht="15" hidden="false" customHeight="false" outlineLevel="0" collapsed="false">
      <c r="A382" s="4" t="s">
        <v>107</v>
      </c>
      <c r="B382" s="4" t="s">
        <v>108</v>
      </c>
      <c r="C382" s="4" t="s">
        <v>69</v>
      </c>
      <c r="D382" s="5" t="s">
        <v>20</v>
      </c>
      <c r="E382" s="5" t="s">
        <v>14</v>
      </c>
      <c r="F382" s="5" t="s">
        <v>72</v>
      </c>
      <c r="G382" s="6" t="n">
        <f aca="false">MAX(0,ROUND((TIMEVALUE(F382)-TIMEVALUE(E382))*1440,0)-10)</f>
        <v>0</v>
      </c>
      <c r="H382" s="5" t="str">
        <f aca="false">IF(G382=0,"On Time","LATE ARRIVAL - "&amp;G382&amp;" min")</f>
        <v>On Time</v>
      </c>
    </row>
    <row r="383" customFormat="false" ht="15" hidden="false" customHeight="false" outlineLevel="0" collapsed="false">
      <c r="A383" s="4" t="s">
        <v>107</v>
      </c>
      <c r="B383" s="4" t="s">
        <v>108</v>
      </c>
      <c r="C383" s="4" t="s">
        <v>69</v>
      </c>
      <c r="D383" s="5" t="s">
        <v>21</v>
      </c>
      <c r="E383" s="5" t="s">
        <v>14</v>
      </c>
      <c r="F383" s="5" t="s">
        <v>41</v>
      </c>
      <c r="G383" s="6" t="n">
        <f aca="false">MAX(0,ROUND((TIMEVALUE(F383)-TIMEVALUE(E383))*1440,0)-10)</f>
        <v>0</v>
      </c>
      <c r="H383" s="5" t="str">
        <f aca="false">IF(G383=0,"On Time","LATE ARRIVAL - "&amp;G383&amp;" min")</f>
        <v>On Time</v>
      </c>
    </row>
    <row r="384" customFormat="false" ht="15" hidden="false" customHeight="false" outlineLevel="0" collapsed="false">
      <c r="A384" s="4" t="s">
        <v>107</v>
      </c>
      <c r="B384" s="4" t="s">
        <v>108</v>
      </c>
      <c r="C384" s="4" t="s">
        <v>69</v>
      </c>
      <c r="D384" s="5" t="s">
        <v>23</v>
      </c>
      <c r="E384" s="5" t="s">
        <v>14</v>
      </c>
      <c r="F384" s="5" t="s">
        <v>46</v>
      </c>
      <c r="G384" s="6" t="n">
        <f aca="false">MAX(0,ROUND((TIMEVALUE(F384)-TIMEVALUE(E384))*1440,0)-10)</f>
        <v>0</v>
      </c>
      <c r="H384" s="5" t="str">
        <f aca="false">IF(G384=0,"On Time","LATE ARRIVAL - "&amp;G384&amp;" min")</f>
        <v>On Time</v>
      </c>
    </row>
    <row r="385" customFormat="false" ht="15" hidden="false" customHeight="false" outlineLevel="0" collapsed="false">
      <c r="A385" s="4" t="s">
        <v>107</v>
      </c>
      <c r="B385" s="4" t="s">
        <v>108</v>
      </c>
      <c r="C385" s="4" t="s">
        <v>69</v>
      </c>
      <c r="D385" s="5" t="s">
        <v>25</v>
      </c>
      <c r="E385" s="5" t="s">
        <v>14</v>
      </c>
      <c r="F385" s="5" t="s">
        <v>15</v>
      </c>
      <c r="G385" s="6" t="n">
        <f aca="false">MAX(0,ROUND((TIMEVALUE(F385)-TIMEVALUE(E385))*1440,0)-10)</f>
        <v>0</v>
      </c>
      <c r="H385" s="5" t="str">
        <f aca="false">IF(G385=0,"On Time","LATE ARRIVAL - "&amp;G385&amp;" min")</f>
        <v>On Time</v>
      </c>
    </row>
    <row r="386" customFormat="false" ht="15" hidden="false" customHeight="false" outlineLevel="0" collapsed="false">
      <c r="A386" s="4" t="s">
        <v>107</v>
      </c>
      <c r="B386" s="4" t="s">
        <v>108</v>
      </c>
      <c r="C386" s="4" t="s">
        <v>69</v>
      </c>
      <c r="D386" s="5" t="s">
        <v>27</v>
      </c>
      <c r="E386" s="5" t="s">
        <v>14</v>
      </c>
      <c r="F386" s="5" t="s">
        <v>64</v>
      </c>
      <c r="G386" s="6" t="n">
        <f aca="false">MAX(0,ROUND((TIMEVALUE(F386)-TIMEVALUE(E386))*1440,0)-10)</f>
        <v>0</v>
      </c>
      <c r="H386" s="5" t="str">
        <f aca="false">IF(G386=0,"On Time","LATE ARRIVAL - "&amp;G386&amp;" min")</f>
        <v>On Time</v>
      </c>
    </row>
    <row r="387" customFormat="false" ht="15" hidden="false" customHeight="false" outlineLevel="0" collapsed="false">
      <c r="A387" s="4" t="s">
        <v>107</v>
      </c>
      <c r="B387" s="4" t="s">
        <v>108</v>
      </c>
      <c r="C387" s="4" t="s">
        <v>69</v>
      </c>
      <c r="D387" s="5" t="s">
        <v>29</v>
      </c>
      <c r="E387" s="5" t="s">
        <v>14</v>
      </c>
      <c r="F387" s="5" t="s">
        <v>24</v>
      </c>
      <c r="G387" s="6" t="n">
        <f aca="false">MAX(0,ROUND((TIMEVALUE(F387)-TIMEVALUE(E387))*1440,0)-10)</f>
        <v>0</v>
      </c>
      <c r="H387" s="5" t="str">
        <f aca="false">IF(G387=0,"On Time","LATE ARRIVAL - "&amp;G387&amp;" min")</f>
        <v>On Time</v>
      </c>
    </row>
    <row r="388" customFormat="false" ht="15" hidden="false" customHeight="false" outlineLevel="0" collapsed="false">
      <c r="A388" s="4" t="s">
        <v>107</v>
      </c>
      <c r="B388" s="4" t="s">
        <v>108</v>
      </c>
      <c r="C388" s="4" t="s">
        <v>69</v>
      </c>
      <c r="D388" s="5" t="s">
        <v>30</v>
      </c>
      <c r="E388" s="5" t="s">
        <v>14</v>
      </c>
      <c r="F388" s="5" t="s">
        <v>31</v>
      </c>
      <c r="G388" s="6" t="n">
        <f aca="false">MAX(0,ROUND((TIMEVALUE(F388)-TIMEVALUE(E388))*1440,0)-10)</f>
        <v>0</v>
      </c>
      <c r="H388" s="5" t="str">
        <f aca="false">IF(G388=0,"On Time","LATE ARRIVAL - "&amp;G388&amp;" min")</f>
        <v>On Time</v>
      </c>
    </row>
    <row r="389" customFormat="false" ht="15" hidden="false" customHeight="false" outlineLevel="0" collapsed="false">
      <c r="A389" s="4" t="s">
        <v>107</v>
      </c>
      <c r="B389" s="4" t="s">
        <v>108</v>
      </c>
      <c r="C389" s="4" t="s">
        <v>69</v>
      </c>
      <c r="D389" s="5" t="s">
        <v>32</v>
      </c>
      <c r="E389" s="5" t="s">
        <v>14</v>
      </c>
      <c r="F389" s="5" t="s">
        <v>56</v>
      </c>
      <c r="G389" s="6" t="n">
        <f aca="false">MAX(0,ROUND((TIMEVALUE(F389)-TIMEVALUE(E389))*1440,0)-10)</f>
        <v>0</v>
      </c>
      <c r="H389" s="5" t="str">
        <f aca="false">IF(G389=0,"On Time","LATE ARRIVAL - "&amp;G389&amp;" min")</f>
        <v>On Time</v>
      </c>
    </row>
    <row r="390" customFormat="false" ht="15" hidden="false" customHeight="false" outlineLevel="0" collapsed="false">
      <c r="A390" s="4" t="s">
        <v>107</v>
      </c>
      <c r="B390" s="4" t="s">
        <v>108</v>
      </c>
      <c r="C390" s="4" t="s">
        <v>69</v>
      </c>
      <c r="D390" s="5" t="s">
        <v>33</v>
      </c>
      <c r="E390" s="5" t="s">
        <v>14</v>
      </c>
      <c r="F390" s="5" t="s">
        <v>14</v>
      </c>
      <c r="G390" s="6" t="n">
        <f aca="false">MAX(0,ROUND((TIMEVALUE(F390)-TIMEVALUE(E390))*1440,0)-10)</f>
        <v>0</v>
      </c>
      <c r="H390" s="5" t="str">
        <f aca="false">IF(G390=0,"On Time","LATE ARRIVAL - "&amp;G390&amp;" min")</f>
        <v>On Time</v>
      </c>
    </row>
    <row r="391" customFormat="false" ht="15" hidden="false" customHeight="false" outlineLevel="0" collapsed="false">
      <c r="A391" s="4" t="s">
        <v>107</v>
      </c>
      <c r="B391" s="4" t="s">
        <v>108</v>
      </c>
      <c r="C391" s="4" t="s">
        <v>69</v>
      </c>
      <c r="D391" s="5" t="s">
        <v>35</v>
      </c>
      <c r="E391" s="5" t="s">
        <v>14</v>
      </c>
      <c r="F391" s="5" t="s">
        <v>15</v>
      </c>
      <c r="G391" s="6" t="n">
        <f aca="false">MAX(0,ROUND((TIMEVALUE(F391)-TIMEVALUE(E391))*1440,0)-10)</f>
        <v>0</v>
      </c>
      <c r="H391" s="5" t="str">
        <f aca="false">IF(G391=0,"On Time","LATE ARRIVAL - "&amp;G391&amp;" min")</f>
        <v>On Time</v>
      </c>
    </row>
    <row r="392" customFormat="false" ht="15" hidden="false" customHeight="false" outlineLevel="0" collapsed="false">
      <c r="A392" s="4" t="s">
        <v>107</v>
      </c>
      <c r="B392" s="4" t="s">
        <v>108</v>
      </c>
      <c r="C392" s="4" t="s">
        <v>69</v>
      </c>
      <c r="D392" s="5" t="s">
        <v>36</v>
      </c>
      <c r="E392" s="5" t="s">
        <v>14</v>
      </c>
      <c r="F392" s="5" t="s">
        <v>14</v>
      </c>
      <c r="G392" s="6" t="n">
        <f aca="false">MAX(0,ROUND((TIMEVALUE(F392)-TIMEVALUE(E392))*1440,0)-10)</f>
        <v>0</v>
      </c>
      <c r="H392" s="5" t="str">
        <f aca="false">IF(G392=0,"On Time","LATE ARRIVAL - "&amp;G392&amp;" min")</f>
        <v>On Time</v>
      </c>
    </row>
    <row r="393" customFormat="false" ht="15" hidden="false" customHeight="false" outlineLevel="0" collapsed="false">
      <c r="A393" s="4" t="s">
        <v>107</v>
      </c>
      <c r="B393" s="4" t="s">
        <v>108</v>
      </c>
      <c r="C393" s="4" t="s">
        <v>69</v>
      </c>
      <c r="D393" s="5" t="s">
        <v>38</v>
      </c>
      <c r="E393" s="5" t="s">
        <v>14</v>
      </c>
      <c r="F393" s="5" t="s">
        <v>39</v>
      </c>
      <c r="G393" s="6" t="n">
        <f aca="false">MAX(0,ROUND((TIMEVALUE(F393)-TIMEVALUE(E393))*1440,0)-10)</f>
        <v>0</v>
      </c>
      <c r="H393" s="5" t="str">
        <f aca="false">IF(G393=0,"On Time","LATE ARRIVAL - "&amp;G393&amp;" min")</f>
        <v>On Time</v>
      </c>
    </row>
    <row r="394" customFormat="false" ht="15" hidden="false" customHeight="false" outlineLevel="0" collapsed="false">
      <c r="A394" s="4" t="s">
        <v>107</v>
      </c>
      <c r="B394" s="4" t="s">
        <v>108</v>
      </c>
      <c r="C394" s="4" t="s">
        <v>69</v>
      </c>
      <c r="D394" s="5" t="s">
        <v>40</v>
      </c>
      <c r="E394" s="5" t="s">
        <v>14</v>
      </c>
      <c r="F394" s="5" t="s">
        <v>24</v>
      </c>
      <c r="G394" s="6" t="n">
        <f aca="false">MAX(0,ROUND((TIMEVALUE(F394)-TIMEVALUE(E394))*1440,0)-10)</f>
        <v>0</v>
      </c>
      <c r="H394" s="5" t="str">
        <f aca="false">IF(G394=0,"On Time","LATE ARRIVAL - "&amp;G394&amp;" min")</f>
        <v>On Time</v>
      </c>
    </row>
    <row r="395" customFormat="false" ht="15" hidden="false" customHeight="false" outlineLevel="0" collapsed="false">
      <c r="A395" s="4" t="s">
        <v>107</v>
      </c>
      <c r="B395" s="4" t="s">
        <v>108</v>
      </c>
      <c r="C395" s="4" t="s">
        <v>69</v>
      </c>
      <c r="D395" s="5" t="s">
        <v>42</v>
      </c>
      <c r="E395" s="5" t="s">
        <v>14</v>
      </c>
      <c r="F395" s="5" t="s">
        <v>14</v>
      </c>
      <c r="G395" s="6" t="n">
        <f aca="false">MAX(0,ROUND((TIMEVALUE(F395)-TIMEVALUE(E395))*1440,0)-10)</f>
        <v>0</v>
      </c>
      <c r="H395" s="5" t="str">
        <f aca="false">IF(G395=0,"On Time","LATE ARRIVAL - "&amp;G395&amp;" min")</f>
        <v>On Time</v>
      </c>
    </row>
    <row r="396" customFormat="false" ht="15" hidden="false" customHeight="false" outlineLevel="0" collapsed="false">
      <c r="A396" s="4" t="s">
        <v>107</v>
      </c>
      <c r="B396" s="4" t="s">
        <v>108</v>
      </c>
      <c r="C396" s="4" t="s">
        <v>69</v>
      </c>
      <c r="D396" s="5" t="s">
        <v>43</v>
      </c>
      <c r="E396" s="5" t="s">
        <v>14</v>
      </c>
      <c r="F396" s="5" t="s">
        <v>22</v>
      </c>
      <c r="G396" s="6" t="n">
        <f aca="false">MAX(0,ROUND((TIMEVALUE(F396)-TIMEVALUE(E396))*1440,0)-10)</f>
        <v>0</v>
      </c>
      <c r="H396" s="5" t="str">
        <f aca="false">IF(G396=0,"On Time","LATE ARRIVAL - "&amp;G396&amp;" min")</f>
        <v>On Time</v>
      </c>
    </row>
    <row r="397" customFormat="false" ht="15" hidden="false" customHeight="false" outlineLevel="0" collapsed="false">
      <c r="A397" s="4" t="s">
        <v>107</v>
      </c>
      <c r="B397" s="4" t="s">
        <v>108</v>
      </c>
      <c r="C397" s="4" t="s">
        <v>69</v>
      </c>
      <c r="D397" s="5" t="s">
        <v>45</v>
      </c>
      <c r="E397" s="5" t="s">
        <v>14</v>
      </c>
      <c r="F397" s="5" t="s">
        <v>22</v>
      </c>
      <c r="G397" s="6" t="n">
        <f aca="false">MAX(0,ROUND((TIMEVALUE(F397)-TIMEVALUE(E397))*1440,0)-10)</f>
        <v>0</v>
      </c>
      <c r="H397" s="5" t="str">
        <f aca="false">IF(G397=0,"On Time","LATE ARRIVAL - "&amp;G397&amp;" min")</f>
        <v>On Time</v>
      </c>
    </row>
    <row r="398" customFormat="false" ht="15" hidden="false" customHeight="false" outlineLevel="0" collapsed="false">
      <c r="A398" s="4" t="s">
        <v>107</v>
      </c>
      <c r="B398" s="4" t="s">
        <v>108</v>
      </c>
      <c r="C398" s="4" t="s">
        <v>69</v>
      </c>
      <c r="D398" s="5" t="s">
        <v>47</v>
      </c>
      <c r="E398" s="5" t="s">
        <v>14</v>
      </c>
      <c r="F398" s="5" t="s">
        <v>87</v>
      </c>
      <c r="G398" s="6" t="n">
        <f aca="false">MAX(0,ROUND((TIMEVALUE(F398)-TIMEVALUE(E398))*1440,0)-10)</f>
        <v>0</v>
      </c>
      <c r="H398" s="5" t="str">
        <f aca="false">IF(G398=0,"On Time","LATE ARRIVAL - "&amp;G398&amp;" min")</f>
        <v>On Time</v>
      </c>
    </row>
    <row r="399" customFormat="false" ht="15" hidden="false" customHeight="false" outlineLevel="0" collapsed="false">
      <c r="A399" s="4" t="s">
        <v>107</v>
      </c>
      <c r="B399" s="4" t="s">
        <v>108</v>
      </c>
      <c r="C399" s="4" t="s">
        <v>69</v>
      </c>
      <c r="D399" s="5" t="s">
        <v>48</v>
      </c>
      <c r="E399" s="5" t="s">
        <v>14</v>
      </c>
      <c r="F399" s="5" t="s">
        <v>64</v>
      </c>
      <c r="G399" s="6" t="n">
        <f aca="false">MAX(0,ROUND((TIMEVALUE(F399)-TIMEVALUE(E399))*1440,0)-10)</f>
        <v>0</v>
      </c>
      <c r="H399" s="5" t="str">
        <f aca="false">IF(G399=0,"On Time","LATE ARRIVAL - "&amp;G399&amp;" min")</f>
        <v>On Time</v>
      </c>
    </row>
    <row r="400" customFormat="false" ht="15" hidden="false" customHeight="false" outlineLevel="0" collapsed="false">
      <c r="A400" s="4" t="s">
        <v>107</v>
      </c>
      <c r="B400" s="4" t="s">
        <v>108</v>
      </c>
      <c r="C400" s="4" t="s">
        <v>69</v>
      </c>
      <c r="D400" s="5" t="s">
        <v>50</v>
      </c>
      <c r="E400" s="5" t="s">
        <v>14</v>
      </c>
      <c r="F400" s="5" t="s">
        <v>72</v>
      </c>
      <c r="G400" s="6" t="n">
        <f aca="false">MAX(0,ROUND((TIMEVALUE(F400)-TIMEVALUE(E400))*1440,0)-10)</f>
        <v>0</v>
      </c>
      <c r="H400" s="5" t="str">
        <f aca="false">IF(G400=0,"On Time","LATE ARRIVAL - "&amp;G400&amp;" min")</f>
        <v>On Time</v>
      </c>
    </row>
    <row r="401" customFormat="false" ht="15" hidden="false" customHeight="false" outlineLevel="0" collapsed="false">
      <c r="A401" s="4" t="s">
        <v>109</v>
      </c>
      <c r="B401" s="4" t="s">
        <v>110</v>
      </c>
      <c r="C401" s="4" t="s">
        <v>79</v>
      </c>
      <c r="D401" s="5" t="s">
        <v>13</v>
      </c>
      <c r="E401" s="5" t="s">
        <v>14</v>
      </c>
      <c r="F401" s="5" t="s">
        <v>17</v>
      </c>
      <c r="G401" s="6" t="n">
        <f aca="false">MAX(0,ROUND((TIMEVALUE(F401)-TIMEVALUE(E401))*1440,0)-10)</f>
        <v>0</v>
      </c>
      <c r="H401" s="5" t="str">
        <f aca="false">IF(G401=0,"On Time","LATE ARRIVAL - "&amp;G401&amp;" min")</f>
        <v>On Time</v>
      </c>
    </row>
    <row r="402" customFormat="false" ht="15" hidden="false" customHeight="false" outlineLevel="0" collapsed="false">
      <c r="A402" s="4" t="s">
        <v>109</v>
      </c>
      <c r="B402" s="4" t="s">
        <v>110</v>
      </c>
      <c r="C402" s="4" t="s">
        <v>79</v>
      </c>
      <c r="D402" s="5" t="s">
        <v>16</v>
      </c>
      <c r="E402" s="5" t="s">
        <v>14</v>
      </c>
      <c r="F402" s="5" t="s">
        <v>58</v>
      </c>
      <c r="G402" s="6" t="n">
        <f aca="false">MAX(0,ROUND((TIMEVALUE(F402)-TIMEVALUE(E402))*1440,0)-10)</f>
        <v>0</v>
      </c>
      <c r="H402" s="5" t="str">
        <f aca="false">IF(G402=0,"On Time","LATE ARRIVAL - "&amp;G402&amp;" min")</f>
        <v>On Time</v>
      </c>
    </row>
    <row r="403" customFormat="false" ht="15" hidden="false" customHeight="false" outlineLevel="0" collapsed="false">
      <c r="A403" s="4" t="s">
        <v>109</v>
      </c>
      <c r="B403" s="4" t="s">
        <v>110</v>
      </c>
      <c r="C403" s="4" t="s">
        <v>79</v>
      </c>
      <c r="D403" s="5" t="s">
        <v>18</v>
      </c>
      <c r="E403" s="5" t="s">
        <v>14</v>
      </c>
      <c r="F403" s="5" t="s">
        <v>28</v>
      </c>
      <c r="G403" s="6" t="n">
        <f aca="false">MAX(0,ROUND((TIMEVALUE(F403)-TIMEVALUE(E403))*1440,0)-10)</f>
        <v>0</v>
      </c>
      <c r="H403" s="5" t="str">
        <f aca="false">IF(G403=0,"On Time","LATE ARRIVAL - "&amp;G403&amp;" min")</f>
        <v>On Time</v>
      </c>
    </row>
    <row r="404" customFormat="false" ht="15" hidden="false" customHeight="false" outlineLevel="0" collapsed="false">
      <c r="A404" s="4" t="s">
        <v>109</v>
      </c>
      <c r="B404" s="4" t="s">
        <v>110</v>
      </c>
      <c r="C404" s="4" t="s">
        <v>79</v>
      </c>
      <c r="D404" s="5" t="s">
        <v>20</v>
      </c>
      <c r="E404" s="5" t="s">
        <v>14</v>
      </c>
      <c r="F404" s="5" t="s">
        <v>17</v>
      </c>
      <c r="G404" s="6" t="n">
        <f aca="false">MAX(0,ROUND((TIMEVALUE(F404)-TIMEVALUE(E404))*1440,0)-10)</f>
        <v>0</v>
      </c>
      <c r="H404" s="5" t="str">
        <f aca="false">IF(G404=0,"On Time","LATE ARRIVAL - "&amp;G404&amp;" min")</f>
        <v>On Time</v>
      </c>
    </row>
    <row r="405" customFormat="false" ht="15" hidden="false" customHeight="false" outlineLevel="0" collapsed="false">
      <c r="A405" s="4" t="s">
        <v>109</v>
      </c>
      <c r="B405" s="4" t="s">
        <v>110</v>
      </c>
      <c r="C405" s="4" t="s">
        <v>79</v>
      </c>
      <c r="D405" s="5" t="s">
        <v>21</v>
      </c>
      <c r="E405" s="5" t="s">
        <v>14</v>
      </c>
      <c r="F405" s="5" t="s">
        <v>44</v>
      </c>
      <c r="G405" s="6" t="n">
        <f aca="false">MAX(0,ROUND((TIMEVALUE(F405)-TIMEVALUE(E405))*1440,0)-10)</f>
        <v>0</v>
      </c>
      <c r="H405" s="5" t="str">
        <f aca="false">IF(G405=0,"On Time","LATE ARRIVAL - "&amp;G405&amp;" min")</f>
        <v>On Time</v>
      </c>
    </row>
    <row r="406" customFormat="false" ht="15" hidden="false" customHeight="false" outlineLevel="0" collapsed="false">
      <c r="A406" s="4" t="s">
        <v>109</v>
      </c>
      <c r="B406" s="4" t="s">
        <v>110</v>
      </c>
      <c r="C406" s="4" t="s">
        <v>79</v>
      </c>
      <c r="D406" s="5" t="s">
        <v>23</v>
      </c>
      <c r="E406" s="5" t="s">
        <v>14</v>
      </c>
      <c r="F406" s="5" t="s">
        <v>66</v>
      </c>
      <c r="G406" s="6" t="n">
        <f aca="false">MAX(0,ROUND((TIMEVALUE(F406)-TIMEVALUE(E406))*1440,0)-10)</f>
        <v>0</v>
      </c>
      <c r="H406" s="5" t="str">
        <f aca="false">IF(G406=0,"On Time","LATE ARRIVAL - "&amp;G406&amp;" min")</f>
        <v>On Time</v>
      </c>
    </row>
    <row r="407" customFormat="false" ht="15" hidden="false" customHeight="false" outlineLevel="0" collapsed="false">
      <c r="A407" s="4" t="s">
        <v>109</v>
      </c>
      <c r="B407" s="4" t="s">
        <v>110</v>
      </c>
      <c r="C407" s="4" t="s">
        <v>79</v>
      </c>
      <c r="D407" s="5" t="s">
        <v>25</v>
      </c>
      <c r="E407" s="5" t="s">
        <v>14</v>
      </c>
      <c r="F407" s="5" t="s">
        <v>62</v>
      </c>
      <c r="G407" s="6" t="n">
        <f aca="false">MAX(0,ROUND((TIMEVALUE(F407)-TIMEVALUE(E407))*1440,0)-10)</f>
        <v>0</v>
      </c>
      <c r="H407" s="5" t="str">
        <f aca="false">IF(G407=0,"On Time","LATE ARRIVAL - "&amp;G407&amp;" min")</f>
        <v>On Time</v>
      </c>
    </row>
    <row r="408" customFormat="false" ht="15" hidden="false" customHeight="false" outlineLevel="0" collapsed="false">
      <c r="A408" s="4" t="s">
        <v>109</v>
      </c>
      <c r="B408" s="4" t="s">
        <v>110</v>
      </c>
      <c r="C408" s="4" t="s">
        <v>79</v>
      </c>
      <c r="D408" s="5" t="s">
        <v>27</v>
      </c>
      <c r="E408" s="5" t="s">
        <v>14</v>
      </c>
      <c r="F408" s="5" t="s">
        <v>72</v>
      </c>
      <c r="G408" s="6" t="n">
        <f aca="false">MAX(0,ROUND((TIMEVALUE(F408)-TIMEVALUE(E408))*1440,0)-10)</f>
        <v>0</v>
      </c>
      <c r="H408" s="5" t="str">
        <f aca="false">IF(G408=0,"On Time","LATE ARRIVAL - "&amp;G408&amp;" min")</f>
        <v>On Time</v>
      </c>
    </row>
    <row r="409" customFormat="false" ht="15" hidden="false" customHeight="false" outlineLevel="0" collapsed="false">
      <c r="A409" s="4" t="s">
        <v>109</v>
      </c>
      <c r="B409" s="4" t="s">
        <v>110</v>
      </c>
      <c r="C409" s="4" t="s">
        <v>79</v>
      </c>
      <c r="D409" s="5" t="s">
        <v>29</v>
      </c>
      <c r="E409" s="5" t="s">
        <v>14</v>
      </c>
      <c r="F409" s="5" t="s">
        <v>24</v>
      </c>
      <c r="G409" s="6" t="n">
        <f aca="false">MAX(0,ROUND((TIMEVALUE(F409)-TIMEVALUE(E409))*1440,0)-10)</f>
        <v>0</v>
      </c>
      <c r="H409" s="5" t="str">
        <f aca="false">IF(G409=0,"On Time","LATE ARRIVAL - "&amp;G409&amp;" min")</f>
        <v>On Time</v>
      </c>
    </row>
    <row r="410" customFormat="false" ht="15" hidden="false" customHeight="false" outlineLevel="0" collapsed="false">
      <c r="A410" s="4" t="s">
        <v>109</v>
      </c>
      <c r="B410" s="4" t="s">
        <v>110</v>
      </c>
      <c r="C410" s="4" t="s">
        <v>79</v>
      </c>
      <c r="D410" s="5" t="s">
        <v>30</v>
      </c>
      <c r="E410" s="5" t="s">
        <v>14</v>
      </c>
      <c r="F410" s="5" t="s">
        <v>19</v>
      </c>
      <c r="G410" s="6" t="n">
        <f aca="false">MAX(0,ROUND((TIMEVALUE(F410)-TIMEVALUE(E410))*1440,0)-10)</f>
        <v>0</v>
      </c>
      <c r="H410" s="5" t="str">
        <f aca="false">IF(G410=0,"On Time","LATE ARRIVAL - "&amp;G410&amp;" min")</f>
        <v>On Time</v>
      </c>
    </row>
    <row r="411" customFormat="false" ht="15" hidden="false" customHeight="false" outlineLevel="0" collapsed="false">
      <c r="A411" s="4" t="s">
        <v>109</v>
      </c>
      <c r="B411" s="4" t="s">
        <v>110</v>
      </c>
      <c r="C411" s="4" t="s">
        <v>79</v>
      </c>
      <c r="D411" s="5" t="s">
        <v>32</v>
      </c>
      <c r="E411" s="5" t="s">
        <v>14</v>
      </c>
      <c r="F411" s="5" t="s">
        <v>58</v>
      </c>
      <c r="G411" s="6" t="n">
        <f aca="false">MAX(0,ROUND((TIMEVALUE(F411)-TIMEVALUE(E411))*1440,0)-10)</f>
        <v>0</v>
      </c>
      <c r="H411" s="5" t="str">
        <f aca="false">IF(G411=0,"On Time","LATE ARRIVAL - "&amp;G411&amp;" min")</f>
        <v>On Time</v>
      </c>
    </row>
    <row r="412" customFormat="false" ht="15" hidden="false" customHeight="false" outlineLevel="0" collapsed="false">
      <c r="A412" s="4" t="s">
        <v>109</v>
      </c>
      <c r="B412" s="4" t="s">
        <v>110</v>
      </c>
      <c r="C412" s="4" t="s">
        <v>79</v>
      </c>
      <c r="D412" s="5" t="s">
        <v>33</v>
      </c>
      <c r="E412" s="5" t="s">
        <v>14</v>
      </c>
      <c r="F412" s="5" t="s">
        <v>41</v>
      </c>
      <c r="G412" s="6" t="n">
        <f aca="false">MAX(0,ROUND((TIMEVALUE(F412)-TIMEVALUE(E412))*1440,0)-10)</f>
        <v>0</v>
      </c>
      <c r="H412" s="5" t="str">
        <f aca="false">IF(G412=0,"On Time","LATE ARRIVAL - "&amp;G412&amp;" min")</f>
        <v>On Time</v>
      </c>
    </row>
    <row r="413" customFormat="false" ht="15" hidden="false" customHeight="false" outlineLevel="0" collapsed="false">
      <c r="A413" s="4" t="s">
        <v>109</v>
      </c>
      <c r="B413" s="4" t="s">
        <v>110</v>
      </c>
      <c r="C413" s="4" t="s">
        <v>79</v>
      </c>
      <c r="D413" s="5" t="s">
        <v>35</v>
      </c>
      <c r="E413" s="5" t="s">
        <v>14</v>
      </c>
      <c r="F413" s="5" t="s">
        <v>22</v>
      </c>
      <c r="G413" s="6" t="n">
        <f aca="false">MAX(0,ROUND((TIMEVALUE(F413)-TIMEVALUE(E413))*1440,0)-10)</f>
        <v>0</v>
      </c>
      <c r="H413" s="5" t="str">
        <f aca="false">IF(G413=0,"On Time","LATE ARRIVAL - "&amp;G413&amp;" min")</f>
        <v>On Time</v>
      </c>
    </row>
    <row r="414" customFormat="false" ht="15" hidden="false" customHeight="false" outlineLevel="0" collapsed="false">
      <c r="A414" s="4" t="s">
        <v>109</v>
      </c>
      <c r="B414" s="4" t="s">
        <v>110</v>
      </c>
      <c r="C414" s="4" t="s">
        <v>79</v>
      </c>
      <c r="D414" s="5" t="s">
        <v>36</v>
      </c>
      <c r="E414" s="5" t="s">
        <v>14</v>
      </c>
      <c r="F414" s="5" t="s">
        <v>37</v>
      </c>
      <c r="G414" s="6" t="n">
        <f aca="false">MAX(0,ROUND((TIMEVALUE(F414)-TIMEVALUE(E414))*1440,0)-10)</f>
        <v>0</v>
      </c>
      <c r="H414" s="5" t="str">
        <f aca="false">IF(G414=0,"On Time","LATE ARRIVAL - "&amp;G414&amp;" min")</f>
        <v>On Time</v>
      </c>
    </row>
    <row r="415" customFormat="false" ht="15" hidden="false" customHeight="false" outlineLevel="0" collapsed="false">
      <c r="A415" s="4" t="s">
        <v>109</v>
      </c>
      <c r="B415" s="4" t="s">
        <v>110</v>
      </c>
      <c r="C415" s="4" t="s">
        <v>79</v>
      </c>
      <c r="D415" s="5" t="s">
        <v>38</v>
      </c>
      <c r="E415" s="5" t="s">
        <v>14</v>
      </c>
      <c r="F415" s="5" t="s">
        <v>37</v>
      </c>
      <c r="G415" s="6" t="n">
        <f aca="false">MAX(0,ROUND((TIMEVALUE(F415)-TIMEVALUE(E415))*1440,0)-10)</f>
        <v>0</v>
      </c>
      <c r="H415" s="5" t="str">
        <f aca="false">IF(G415=0,"On Time","LATE ARRIVAL - "&amp;G415&amp;" min")</f>
        <v>On Time</v>
      </c>
    </row>
    <row r="416" customFormat="false" ht="15" hidden="false" customHeight="false" outlineLevel="0" collapsed="false">
      <c r="A416" s="4" t="s">
        <v>109</v>
      </c>
      <c r="B416" s="4" t="s">
        <v>110</v>
      </c>
      <c r="C416" s="4" t="s">
        <v>79</v>
      </c>
      <c r="D416" s="5" t="s">
        <v>40</v>
      </c>
      <c r="E416" s="5" t="s">
        <v>14</v>
      </c>
      <c r="F416" s="5" t="s">
        <v>75</v>
      </c>
      <c r="G416" s="6" t="n">
        <f aca="false">MAX(0,ROUND((TIMEVALUE(F416)-TIMEVALUE(E416))*1440,0)-10)</f>
        <v>25</v>
      </c>
      <c r="H416" s="5" t="str">
        <f aca="false">IF(G416=0,"On Time","LATE ARRIVAL - "&amp;G416&amp;" min")</f>
        <v>LATE ARRIVAL - 25 min</v>
      </c>
    </row>
    <row r="417" customFormat="false" ht="15" hidden="false" customHeight="false" outlineLevel="0" collapsed="false">
      <c r="A417" s="4" t="s">
        <v>109</v>
      </c>
      <c r="B417" s="4" t="s">
        <v>110</v>
      </c>
      <c r="C417" s="4" t="s">
        <v>79</v>
      </c>
      <c r="D417" s="5" t="s">
        <v>42</v>
      </c>
      <c r="E417" s="5" t="s">
        <v>14</v>
      </c>
      <c r="F417" s="5" t="s">
        <v>14</v>
      </c>
      <c r="G417" s="6" t="n">
        <f aca="false">MAX(0,ROUND((TIMEVALUE(F417)-TIMEVALUE(E417))*1440,0)-10)</f>
        <v>0</v>
      </c>
      <c r="H417" s="5" t="str">
        <f aca="false">IF(G417=0,"On Time","LATE ARRIVAL - "&amp;G417&amp;" min")</f>
        <v>On Time</v>
      </c>
    </row>
    <row r="418" customFormat="false" ht="15" hidden="false" customHeight="false" outlineLevel="0" collapsed="false">
      <c r="A418" s="4" t="s">
        <v>109</v>
      </c>
      <c r="B418" s="4" t="s">
        <v>110</v>
      </c>
      <c r="C418" s="4" t="s">
        <v>79</v>
      </c>
      <c r="D418" s="5" t="s">
        <v>43</v>
      </c>
      <c r="E418" s="5" t="s">
        <v>14</v>
      </c>
      <c r="F418" s="5" t="s">
        <v>17</v>
      </c>
      <c r="G418" s="6" t="n">
        <f aca="false">MAX(0,ROUND((TIMEVALUE(F418)-TIMEVALUE(E418))*1440,0)-10)</f>
        <v>0</v>
      </c>
      <c r="H418" s="5" t="str">
        <f aca="false">IF(G418=0,"On Time","LATE ARRIVAL - "&amp;G418&amp;" min")</f>
        <v>On Time</v>
      </c>
    </row>
    <row r="419" customFormat="false" ht="15" hidden="false" customHeight="false" outlineLevel="0" collapsed="false">
      <c r="A419" s="4" t="s">
        <v>109</v>
      </c>
      <c r="B419" s="4" t="s">
        <v>110</v>
      </c>
      <c r="C419" s="4" t="s">
        <v>79</v>
      </c>
      <c r="D419" s="5" t="s">
        <v>45</v>
      </c>
      <c r="E419" s="5" t="s">
        <v>14</v>
      </c>
      <c r="F419" s="5" t="s">
        <v>72</v>
      </c>
      <c r="G419" s="6" t="n">
        <f aca="false">MAX(0,ROUND((TIMEVALUE(F419)-TIMEVALUE(E419))*1440,0)-10)</f>
        <v>0</v>
      </c>
      <c r="H419" s="5" t="str">
        <f aca="false">IF(G419=0,"On Time","LATE ARRIVAL - "&amp;G419&amp;" min")</f>
        <v>On Time</v>
      </c>
    </row>
    <row r="420" customFormat="false" ht="15" hidden="false" customHeight="false" outlineLevel="0" collapsed="false">
      <c r="A420" s="4" t="s">
        <v>109</v>
      </c>
      <c r="B420" s="4" t="s">
        <v>110</v>
      </c>
      <c r="C420" s="4" t="s">
        <v>79</v>
      </c>
      <c r="D420" s="5" t="s">
        <v>47</v>
      </c>
      <c r="E420" s="5" t="s">
        <v>14</v>
      </c>
      <c r="F420" s="5" t="s">
        <v>66</v>
      </c>
      <c r="G420" s="6" t="n">
        <f aca="false">MAX(0,ROUND((TIMEVALUE(F420)-TIMEVALUE(E420))*1440,0)-10)</f>
        <v>0</v>
      </c>
      <c r="H420" s="5" t="str">
        <f aca="false">IF(G420=0,"On Time","LATE ARRIVAL - "&amp;G420&amp;" min")</f>
        <v>On Time</v>
      </c>
    </row>
    <row r="421" customFormat="false" ht="15" hidden="false" customHeight="false" outlineLevel="0" collapsed="false">
      <c r="A421" s="4" t="s">
        <v>109</v>
      </c>
      <c r="B421" s="4" t="s">
        <v>110</v>
      </c>
      <c r="C421" s="4" t="s">
        <v>79</v>
      </c>
      <c r="D421" s="5" t="s">
        <v>48</v>
      </c>
      <c r="E421" s="5" t="s">
        <v>14</v>
      </c>
      <c r="F421" s="5" t="s">
        <v>17</v>
      </c>
      <c r="G421" s="6" t="n">
        <f aca="false">MAX(0,ROUND((TIMEVALUE(F421)-TIMEVALUE(E421))*1440,0)-10)</f>
        <v>0</v>
      </c>
      <c r="H421" s="5" t="str">
        <f aca="false">IF(G421=0,"On Time","LATE ARRIVAL - "&amp;G421&amp;" min")</f>
        <v>On Time</v>
      </c>
    </row>
    <row r="422" customFormat="false" ht="15" hidden="false" customHeight="false" outlineLevel="0" collapsed="false">
      <c r="A422" s="4" t="s">
        <v>109</v>
      </c>
      <c r="B422" s="4" t="s">
        <v>110</v>
      </c>
      <c r="C422" s="4" t="s">
        <v>79</v>
      </c>
      <c r="D422" s="5" t="s">
        <v>50</v>
      </c>
      <c r="E422" s="5" t="s">
        <v>14</v>
      </c>
      <c r="F422" s="5" t="s">
        <v>56</v>
      </c>
      <c r="G422" s="6" t="n">
        <f aca="false">MAX(0,ROUND((TIMEVALUE(F422)-TIMEVALUE(E422))*1440,0)-10)</f>
        <v>0</v>
      </c>
      <c r="H422" s="5" t="str">
        <f aca="false">IF(G422=0,"On Time","LATE ARRIVAL - "&amp;G422&amp;" min")</f>
        <v>On Time</v>
      </c>
    </row>
    <row r="423" customFormat="false" ht="15" hidden="false" customHeight="false" outlineLevel="0" collapsed="false">
      <c r="A423" s="4" t="s">
        <v>111</v>
      </c>
      <c r="B423" s="4" t="s">
        <v>112</v>
      </c>
      <c r="C423" s="4" t="s">
        <v>53</v>
      </c>
      <c r="D423" s="5" t="s">
        <v>13</v>
      </c>
      <c r="E423" s="5" t="s">
        <v>14</v>
      </c>
      <c r="F423" s="5" t="s">
        <v>41</v>
      </c>
      <c r="G423" s="6" t="n">
        <f aca="false">MAX(0,ROUND((TIMEVALUE(F423)-TIMEVALUE(E423))*1440,0)-10)</f>
        <v>0</v>
      </c>
      <c r="H423" s="5" t="str">
        <f aca="false">IF(G423=0,"On Time","LATE ARRIVAL - "&amp;G423&amp;" min")</f>
        <v>On Time</v>
      </c>
    </row>
    <row r="424" customFormat="false" ht="15" hidden="false" customHeight="false" outlineLevel="0" collapsed="false">
      <c r="A424" s="4" t="s">
        <v>111</v>
      </c>
      <c r="B424" s="4" t="s">
        <v>112</v>
      </c>
      <c r="C424" s="4" t="s">
        <v>53</v>
      </c>
      <c r="D424" s="5" t="s">
        <v>16</v>
      </c>
      <c r="E424" s="5" t="s">
        <v>14</v>
      </c>
      <c r="F424" s="5" t="s">
        <v>49</v>
      </c>
      <c r="G424" s="6" t="n">
        <f aca="false">MAX(0,ROUND((TIMEVALUE(F424)-TIMEVALUE(E424))*1440,0)-10)</f>
        <v>0</v>
      </c>
      <c r="H424" s="5" t="str">
        <f aca="false">IF(G424=0,"On Time","LATE ARRIVAL - "&amp;G424&amp;" min")</f>
        <v>On Time</v>
      </c>
    </row>
    <row r="425" customFormat="false" ht="15" hidden="false" customHeight="false" outlineLevel="0" collapsed="false">
      <c r="A425" s="4" t="s">
        <v>111</v>
      </c>
      <c r="B425" s="4" t="s">
        <v>112</v>
      </c>
      <c r="C425" s="4" t="s">
        <v>53</v>
      </c>
      <c r="D425" s="5" t="s">
        <v>18</v>
      </c>
      <c r="E425" s="5" t="s">
        <v>14</v>
      </c>
      <c r="F425" s="5" t="s">
        <v>64</v>
      </c>
      <c r="G425" s="6" t="n">
        <f aca="false">MAX(0,ROUND((TIMEVALUE(F425)-TIMEVALUE(E425))*1440,0)-10)</f>
        <v>0</v>
      </c>
      <c r="H425" s="5" t="str">
        <f aca="false">IF(G425=0,"On Time","LATE ARRIVAL - "&amp;G425&amp;" min")</f>
        <v>On Time</v>
      </c>
    </row>
    <row r="426" customFormat="false" ht="15" hidden="false" customHeight="false" outlineLevel="0" collapsed="false">
      <c r="A426" s="4" t="s">
        <v>111</v>
      </c>
      <c r="B426" s="4" t="s">
        <v>112</v>
      </c>
      <c r="C426" s="4" t="s">
        <v>53</v>
      </c>
      <c r="D426" s="5" t="s">
        <v>20</v>
      </c>
      <c r="E426" s="5" t="s">
        <v>14</v>
      </c>
      <c r="F426" s="5" t="s">
        <v>64</v>
      </c>
      <c r="G426" s="6" t="n">
        <f aca="false">MAX(0,ROUND((TIMEVALUE(F426)-TIMEVALUE(E426))*1440,0)-10)</f>
        <v>0</v>
      </c>
      <c r="H426" s="5" t="str">
        <f aca="false">IF(G426=0,"On Time","LATE ARRIVAL - "&amp;G426&amp;" min")</f>
        <v>On Time</v>
      </c>
    </row>
    <row r="427" customFormat="false" ht="15" hidden="false" customHeight="false" outlineLevel="0" collapsed="false">
      <c r="A427" s="4" t="s">
        <v>111</v>
      </c>
      <c r="B427" s="4" t="s">
        <v>112</v>
      </c>
      <c r="C427" s="4" t="s">
        <v>53</v>
      </c>
      <c r="D427" s="5" t="s">
        <v>21</v>
      </c>
      <c r="E427" s="5" t="s">
        <v>14</v>
      </c>
      <c r="F427" s="5" t="s">
        <v>70</v>
      </c>
      <c r="G427" s="6" t="n">
        <f aca="false">MAX(0,ROUND((TIMEVALUE(F427)-TIMEVALUE(E427))*1440,0)-10)</f>
        <v>8</v>
      </c>
      <c r="H427" s="5" t="str">
        <f aca="false">IF(G427=0,"On Time","LATE ARRIVAL - "&amp;G427&amp;" min")</f>
        <v>LATE ARRIVAL - 8 min</v>
      </c>
    </row>
    <row r="428" customFormat="false" ht="15" hidden="false" customHeight="false" outlineLevel="0" collapsed="false">
      <c r="A428" s="4" t="s">
        <v>111</v>
      </c>
      <c r="B428" s="4" t="s">
        <v>112</v>
      </c>
      <c r="C428" s="4" t="s">
        <v>53</v>
      </c>
      <c r="D428" s="5" t="s">
        <v>23</v>
      </c>
      <c r="E428" s="5" t="s">
        <v>14</v>
      </c>
      <c r="F428" s="5" t="s">
        <v>28</v>
      </c>
      <c r="G428" s="6" t="n">
        <f aca="false">MAX(0,ROUND((TIMEVALUE(F428)-TIMEVALUE(E428))*1440,0)-10)</f>
        <v>0</v>
      </c>
      <c r="H428" s="5" t="str">
        <f aca="false">IF(G428=0,"On Time","LATE ARRIVAL - "&amp;G428&amp;" min")</f>
        <v>On Time</v>
      </c>
    </row>
    <row r="429" customFormat="false" ht="15" hidden="false" customHeight="false" outlineLevel="0" collapsed="false">
      <c r="A429" s="4" t="s">
        <v>111</v>
      </c>
      <c r="B429" s="4" t="s">
        <v>112</v>
      </c>
      <c r="C429" s="4" t="s">
        <v>53</v>
      </c>
      <c r="D429" s="5" t="s">
        <v>25</v>
      </c>
      <c r="E429" s="5" t="s">
        <v>14</v>
      </c>
      <c r="F429" s="5" t="s">
        <v>62</v>
      </c>
      <c r="G429" s="6" t="n">
        <f aca="false">MAX(0,ROUND((TIMEVALUE(F429)-TIMEVALUE(E429))*1440,0)-10)</f>
        <v>0</v>
      </c>
      <c r="H429" s="5" t="str">
        <f aca="false">IF(G429=0,"On Time","LATE ARRIVAL - "&amp;G429&amp;" min")</f>
        <v>On Time</v>
      </c>
    </row>
    <row r="430" customFormat="false" ht="15" hidden="false" customHeight="false" outlineLevel="0" collapsed="false">
      <c r="A430" s="4" t="s">
        <v>111</v>
      </c>
      <c r="B430" s="4" t="s">
        <v>112</v>
      </c>
      <c r="C430" s="4" t="s">
        <v>53</v>
      </c>
      <c r="D430" s="5" t="s">
        <v>27</v>
      </c>
      <c r="E430" s="5" t="s">
        <v>14</v>
      </c>
      <c r="F430" s="5" t="s">
        <v>66</v>
      </c>
      <c r="G430" s="6" t="n">
        <f aca="false">MAX(0,ROUND((TIMEVALUE(F430)-TIMEVALUE(E430))*1440,0)-10)</f>
        <v>0</v>
      </c>
      <c r="H430" s="5" t="str">
        <f aca="false">IF(G430=0,"On Time","LATE ARRIVAL - "&amp;G430&amp;" min")</f>
        <v>On Time</v>
      </c>
    </row>
    <row r="431" customFormat="false" ht="15" hidden="false" customHeight="false" outlineLevel="0" collapsed="false">
      <c r="A431" s="4" t="s">
        <v>111</v>
      </c>
      <c r="B431" s="4" t="s">
        <v>112</v>
      </c>
      <c r="C431" s="4" t="s">
        <v>53</v>
      </c>
      <c r="D431" s="5" t="s">
        <v>29</v>
      </c>
      <c r="E431" s="5" t="s">
        <v>14</v>
      </c>
      <c r="F431" s="5" t="s">
        <v>31</v>
      </c>
      <c r="G431" s="6" t="n">
        <f aca="false">MAX(0,ROUND((TIMEVALUE(F431)-TIMEVALUE(E431))*1440,0)-10)</f>
        <v>0</v>
      </c>
      <c r="H431" s="5" t="str">
        <f aca="false">IF(G431=0,"On Time","LATE ARRIVAL - "&amp;G431&amp;" min")</f>
        <v>On Time</v>
      </c>
    </row>
    <row r="432" customFormat="false" ht="15" hidden="false" customHeight="false" outlineLevel="0" collapsed="false">
      <c r="A432" s="4" t="s">
        <v>111</v>
      </c>
      <c r="B432" s="4" t="s">
        <v>112</v>
      </c>
      <c r="C432" s="4" t="s">
        <v>53</v>
      </c>
      <c r="D432" s="5" t="s">
        <v>30</v>
      </c>
      <c r="E432" s="5" t="s">
        <v>14</v>
      </c>
      <c r="F432" s="5" t="s">
        <v>44</v>
      </c>
      <c r="G432" s="6" t="n">
        <f aca="false">MAX(0,ROUND((TIMEVALUE(F432)-TIMEVALUE(E432))*1440,0)-10)</f>
        <v>0</v>
      </c>
      <c r="H432" s="5" t="str">
        <f aca="false">IF(G432=0,"On Time","LATE ARRIVAL - "&amp;G432&amp;" min")</f>
        <v>On Time</v>
      </c>
    </row>
    <row r="433" customFormat="false" ht="15" hidden="false" customHeight="false" outlineLevel="0" collapsed="false">
      <c r="A433" s="4" t="s">
        <v>111</v>
      </c>
      <c r="B433" s="4" t="s">
        <v>112</v>
      </c>
      <c r="C433" s="4" t="s">
        <v>53</v>
      </c>
      <c r="D433" s="5" t="s">
        <v>32</v>
      </c>
      <c r="E433" s="5" t="s">
        <v>14</v>
      </c>
      <c r="F433" s="5" t="s">
        <v>73</v>
      </c>
      <c r="G433" s="6" t="n">
        <f aca="false">MAX(0,ROUND((TIMEVALUE(F433)-TIMEVALUE(E433))*1440,0)-10)</f>
        <v>0</v>
      </c>
      <c r="H433" s="5" t="str">
        <f aca="false">IF(G433=0,"On Time","LATE ARRIVAL - "&amp;G433&amp;" min")</f>
        <v>On Time</v>
      </c>
    </row>
    <row r="434" customFormat="false" ht="15" hidden="false" customHeight="false" outlineLevel="0" collapsed="false">
      <c r="A434" s="4" t="s">
        <v>111</v>
      </c>
      <c r="B434" s="4" t="s">
        <v>112</v>
      </c>
      <c r="C434" s="4" t="s">
        <v>53</v>
      </c>
      <c r="D434" s="5" t="s">
        <v>33</v>
      </c>
      <c r="E434" s="5" t="s">
        <v>14</v>
      </c>
      <c r="F434" s="5" t="s">
        <v>66</v>
      </c>
      <c r="G434" s="6" t="n">
        <f aca="false">MAX(0,ROUND((TIMEVALUE(F434)-TIMEVALUE(E434))*1440,0)-10)</f>
        <v>0</v>
      </c>
      <c r="H434" s="5" t="str">
        <f aca="false">IF(G434=0,"On Time","LATE ARRIVAL - "&amp;G434&amp;" min")</f>
        <v>On Time</v>
      </c>
    </row>
    <row r="435" customFormat="false" ht="15" hidden="false" customHeight="false" outlineLevel="0" collapsed="false">
      <c r="A435" s="4" t="s">
        <v>111</v>
      </c>
      <c r="B435" s="4" t="s">
        <v>112</v>
      </c>
      <c r="C435" s="4" t="s">
        <v>53</v>
      </c>
      <c r="D435" s="5" t="s">
        <v>35</v>
      </c>
      <c r="E435" s="5" t="s">
        <v>14</v>
      </c>
      <c r="F435" s="5" t="s">
        <v>24</v>
      </c>
      <c r="G435" s="6" t="n">
        <f aca="false">MAX(0,ROUND((TIMEVALUE(F435)-TIMEVALUE(E435))*1440,0)-10)</f>
        <v>0</v>
      </c>
      <c r="H435" s="5" t="str">
        <f aca="false">IF(G435=0,"On Time","LATE ARRIVAL - "&amp;G435&amp;" min")</f>
        <v>On Time</v>
      </c>
    </row>
    <row r="436" customFormat="false" ht="15" hidden="false" customHeight="false" outlineLevel="0" collapsed="false">
      <c r="A436" s="4" t="s">
        <v>111</v>
      </c>
      <c r="B436" s="4" t="s">
        <v>112</v>
      </c>
      <c r="C436" s="4" t="s">
        <v>53</v>
      </c>
      <c r="D436" s="5" t="s">
        <v>36</v>
      </c>
      <c r="E436" s="5" t="s">
        <v>14</v>
      </c>
      <c r="F436" s="5" t="s">
        <v>19</v>
      </c>
      <c r="G436" s="6" t="n">
        <f aca="false">MAX(0,ROUND((TIMEVALUE(F436)-TIMEVALUE(E436))*1440,0)-10)</f>
        <v>0</v>
      </c>
      <c r="H436" s="5" t="str">
        <f aca="false">IF(G436=0,"On Time","LATE ARRIVAL - "&amp;G436&amp;" min")</f>
        <v>On Time</v>
      </c>
    </row>
    <row r="437" customFormat="false" ht="15" hidden="false" customHeight="false" outlineLevel="0" collapsed="false">
      <c r="A437" s="4" t="s">
        <v>111</v>
      </c>
      <c r="B437" s="4" t="s">
        <v>112</v>
      </c>
      <c r="C437" s="4" t="s">
        <v>53</v>
      </c>
      <c r="D437" s="5" t="s">
        <v>38</v>
      </c>
      <c r="E437" s="5" t="s">
        <v>14</v>
      </c>
      <c r="F437" s="5" t="s">
        <v>34</v>
      </c>
      <c r="G437" s="6" t="n">
        <f aca="false">MAX(0,ROUND((TIMEVALUE(F437)-TIMEVALUE(E437))*1440,0)-10)</f>
        <v>0</v>
      </c>
      <c r="H437" s="5" t="str">
        <f aca="false">IF(G437=0,"On Time","LATE ARRIVAL - "&amp;G437&amp;" min")</f>
        <v>On Time</v>
      </c>
    </row>
    <row r="438" customFormat="false" ht="15" hidden="false" customHeight="false" outlineLevel="0" collapsed="false">
      <c r="A438" s="4" t="s">
        <v>111</v>
      </c>
      <c r="B438" s="4" t="s">
        <v>112</v>
      </c>
      <c r="C438" s="4" t="s">
        <v>53</v>
      </c>
      <c r="D438" s="5" t="s">
        <v>40</v>
      </c>
      <c r="E438" s="5" t="s">
        <v>14</v>
      </c>
      <c r="F438" s="5" t="s">
        <v>26</v>
      </c>
      <c r="G438" s="6" t="n">
        <f aca="false">MAX(0,ROUND((TIMEVALUE(F438)-TIMEVALUE(E438))*1440,0)-10)</f>
        <v>12</v>
      </c>
      <c r="H438" s="5" t="str">
        <f aca="false">IF(G438=0,"On Time","LATE ARRIVAL - "&amp;G438&amp;" min")</f>
        <v>LATE ARRIVAL - 12 min</v>
      </c>
    </row>
    <row r="439" customFormat="false" ht="15" hidden="false" customHeight="false" outlineLevel="0" collapsed="false">
      <c r="A439" s="4" t="s">
        <v>111</v>
      </c>
      <c r="B439" s="4" t="s">
        <v>112</v>
      </c>
      <c r="C439" s="4" t="s">
        <v>53</v>
      </c>
      <c r="D439" s="5" t="s">
        <v>42</v>
      </c>
      <c r="E439" s="5" t="s">
        <v>14</v>
      </c>
      <c r="F439" s="5" t="s">
        <v>62</v>
      </c>
      <c r="G439" s="6" t="n">
        <f aca="false">MAX(0,ROUND((TIMEVALUE(F439)-TIMEVALUE(E439))*1440,0)-10)</f>
        <v>0</v>
      </c>
      <c r="H439" s="5" t="str">
        <f aca="false">IF(G439=0,"On Time","LATE ARRIVAL - "&amp;G439&amp;" min")</f>
        <v>On Time</v>
      </c>
    </row>
    <row r="440" customFormat="false" ht="15" hidden="false" customHeight="false" outlineLevel="0" collapsed="false">
      <c r="A440" s="4" t="s">
        <v>111</v>
      </c>
      <c r="B440" s="4" t="s">
        <v>112</v>
      </c>
      <c r="C440" s="4" t="s">
        <v>53</v>
      </c>
      <c r="D440" s="5" t="s">
        <v>43</v>
      </c>
      <c r="E440" s="5" t="s">
        <v>14</v>
      </c>
      <c r="F440" s="5" t="s">
        <v>15</v>
      </c>
      <c r="G440" s="6" t="n">
        <f aca="false">MAX(0,ROUND((TIMEVALUE(F440)-TIMEVALUE(E440))*1440,0)-10)</f>
        <v>0</v>
      </c>
      <c r="H440" s="5" t="str">
        <f aca="false">IF(G440=0,"On Time","LATE ARRIVAL - "&amp;G440&amp;" min")</f>
        <v>On Time</v>
      </c>
    </row>
    <row r="441" customFormat="false" ht="15" hidden="false" customHeight="false" outlineLevel="0" collapsed="false">
      <c r="A441" s="4" t="s">
        <v>111</v>
      </c>
      <c r="B441" s="4" t="s">
        <v>112</v>
      </c>
      <c r="C441" s="4" t="s">
        <v>53</v>
      </c>
      <c r="D441" s="5" t="s">
        <v>45</v>
      </c>
      <c r="E441" s="5" t="s">
        <v>14</v>
      </c>
      <c r="F441" s="5" t="s">
        <v>87</v>
      </c>
      <c r="G441" s="6" t="n">
        <f aca="false">MAX(0,ROUND((TIMEVALUE(F441)-TIMEVALUE(E441))*1440,0)-10)</f>
        <v>0</v>
      </c>
      <c r="H441" s="5" t="str">
        <f aca="false">IF(G441=0,"On Time","LATE ARRIVAL - "&amp;G441&amp;" min")</f>
        <v>On Time</v>
      </c>
    </row>
    <row r="442" customFormat="false" ht="15" hidden="false" customHeight="false" outlineLevel="0" collapsed="false">
      <c r="A442" s="4" t="s">
        <v>111</v>
      </c>
      <c r="B442" s="4" t="s">
        <v>112</v>
      </c>
      <c r="C442" s="4" t="s">
        <v>53</v>
      </c>
      <c r="D442" s="5" t="s">
        <v>47</v>
      </c>
      <c r="E442" s="5" t="s">
        <v>14</v>
      </c>
      <c r="F442" s="5" t="s">
        <v>62</v>
      </c>
      <c r="G442" s="6" t="n">
        <f aca="false">MAX(0,ROUND((TIMEVALUE(F442)-TIMEVALUE(E442))*1440,0)-10)</f>
        <v>0</v>
      </c>
      <c r="H442" s="5" t="str">
        <f aca="false">IF(G442=0,"On Time","LATE ARRIVAL - "&amp;G442&amp;" min")</f>
        <v>On Time</v>
      </c>
    </row>
    <row r="443" customFormat="false" ht="15" hidden="false" customHeight="false" outlineLevel="0" collapsed="false">
      <c r="A443" s="4" t="s">
        <v>111</v>
      </c>
      <c r="B443" s="4" t="s">
        <v>112</v>
      </c>
      <c r="C443" s="4" t="s">
        <v>53</v>
      </c>
      <c r="D443" s="5" t="s">
        <v>48</v>
      </c>
      <c r="E443" s="5" t="s">
        <v>14</v>
      </c>
      <c r="F443" s="5" t="s">
        <v>70</v>
      </c>
      <c r="G443" s="6" t="n">
        <f aca="false">MAX(0,ROUND((TIMEVALUE(F443)-TIMEVALUE(E443))*1440,0)-10)</f>
        <v>8</v>
      </c>
      <c r="H443" s="5" t="str">
        <f aca="false">IF(G443=0,"On Time","LATE ARRIVAL - "&amp;G443&amp;" min")</f>
        <v>LATE ARRIVAL - 8 min</v>
      </c>
    </row>
    <row r="444" customFormat="false" ht="15" hidden="false" customHeight="false" outlineLevel="0" collapsed="false">
      <c r="A444" s="4" t="s">
        <v>111</v>
      </c>
      <c r="B444" s="4" t="s">
        <v>112</v>
      </c>
      <c r="C444" s="4" t="s">
        <v>53</v>
      </c>
      <c r="D444" s="5" t="s">
        <v>50</v>
      </c>
      <c r="E444" s="5" t="s">
        <v>14</v>
      </c>
      <c r="F444" s="5" t="s">
        <v>56</v>
      </c>
      <c r="G444" s="6" t="n">
        <f aca="false">MAX(0,ROUND((TIMEVALUE(F444)-TIMEVALUE(E444))*1440,0)-10)</f>
        <v>0</v>
      </c>
      <c r="H444" s="5" t="str">
        <f aca="false">IF(G444=0,"On Time","LATE ARRIVAL - "&amp;G444&amp;" min")</f>
        <v>On Time</v>
      </c>
    </row>
    <row r="447" customFormat="false" ht="15" hidden="false" customHeight="false" outlineLevel="0" collapsed="false">
      <c r="A447" s="7" t="s">
        <v>113</v>
      </c>
      <c r="B447" s="7"/>
      <c r="C447" s="7"/>
      <c r="D447" s="7"/>
      <c r="E447" s="7"/>
    </row>
    <row r="448" customFormat="false" ht="39.55" hidden="false" customHeight="false" outlineLevel="0" collapsed="false">
      <c r="A448" s="3" t="s">
        <v>2</v>
      </c>
      <c r="B448" s="3" t="s">
        <v>3</v>
      </c>
      <c r="C448" s="3" t="s">
        <v>4</v>
      </c>
      <c r="D448" s="3" t="s">
        <v>114</v>
      </c>
      <c r="E448" s="3" t="s">
        <v>115</v>
      </c>
    </row>
    <row r="449" customFormat="false" ht="15" hidden="false" customHeight="false" outlineLevel="0" collapsed="false">
      <c r="A449" s="4" t="s">
        <v>10</v>
      </c>
      <c r="B449" s="4" t="s">
        <v>11</v>
      </c>
      <c r="C449" s="4" t="s">
        <v>12</v>
      </c>
      <c r="D449" s="5" t="n">
        <f aca="false">SUMPRODUCT((A5:A444=A449)*(LEFT(H5:H444,4)="LATE"))</f>
        <v>2</v>
      </c>
      <c r="E449" s="5" t="str">
        <f aca="false">IF(D449&gt;=3,"FREQUENT LATECOMER - ACTION REQUIRED","OK")</f>
        <v>OK</v>
      </c>
    </row>
    <row r="450" customFormat="false" ht="46.25" hidden="false" customHeight="false" outlineLevel="0" collapsed="false">
      <c r="A450" s="4" t="s">
        <v>51</v>
      </c>
      <c r="B450" s="4" t="s">
        <v>52</v>
      </c>
      <c r="C450" s="4" t="s">
        <v>53</v>
      </c>
      <c r="D450" s="5" t="n">
        <f aca="false">SUMPRODUCT((A5:A444=A450)*(LEFT(H5:H444,4)="LATE"))</f>
        <v>9</v>
      </c>
      <c r="E450" s="5" t="str">
        <f aca="false">IF(D450&gt;=3,"FREQUENT LATECOMER - ACTION REQUIRED","OK")</f>
        <v>FREQUENT LATECOMER - ACTION REQUIRED</v>
      </c>
    </row>
    <row r="451" customFormat="false" ht="15" hidden="false" customHeight="false" outlineLevel="0" collapsed="false">
      <c r="A451" s="4" t="s">
        <v>59</v>
      </c>
      <c r="B451" s="4" t="s">
        <v>60</v>
      </c>
      <c r="C451" s="4" t="s">
        <v>61</v>
      </c>
      <c r="D451" s="5" t="n">
        <f aca="false">SUMPRODUCT((A5:A444=A451)*(LEFT(H5:H444,4)="LATE"))</f>
        <v>0</v>
      </c>
      <c r="E451" s="5" t="str">
        <f aca="false">IF(D451&gt;=3,"FREQUENT LATECOMER - ACTION REQUIRED","OK")</f>
        <v>OK</v>
      </c>
    </row>
    <row r="452" customFormat="false" ht="46.25" hidden="false" customHeight="false" outlineLevel="0" collapsed="false">
      <c r="A452" s="4" t="s">
        <v>67</v>
      </c>
      <c r="B452" s="4" t="s">
        <v>68</v>
      </c>
      <c r="C452" s="4" t="s">
        <v>69</v>
      </c>
      <c r="D452" s="5" t="n">
        <f aca="false">SUMPRODUCT((A5:A444=A452)*(LEFT(H5:H444,4)="LATE"))</f>
        <v>10</v>
      </c>
      <c r="E452" s="5" t="str">
        <f aca="false">IF(D452&gt;=3,"FREQUENT LATECOMER - ACTION REQUIRED","OK")</f>
        <v>FREQUENT LATECOMER - ACTION REQUIRED</v>
      </c>
    </row>
    <row r="453" customFormat="false" ht="46.25" hidden="false" customHeight="false" outlineLevel="0" collapsed="false">
      <c r="A453" s="4" t="s">
        <v>77</v>
      </c>
      <c r="B453" s="4" t="s">
        <v>78</v>
      </c>
      <c r="C453" s="4" t="s">
        <v>79</v>
      </c>
      <c r="D453" s="5" t="n">
        <f aca="false">SUMPRODUCT((A5:A444=A453)*(LEFT(H5:H444,4)="LATE"))</f>
        <v>4</v>
      </c>
      <c r="E453" s="5" t="str">
        <f aca="false">IF(D453&gt;=3,"FREQUENT LATECOMER - ACTION REQUIRED","OK")</f>
        <v>FREQUENT LATECOMER - ACTION REQUIRED</v>
      </c>
    </row>
    <row r="454" customFormat="false" ht="15" hidden="false" customHeight="false" outlineLevel="0" collapsed="false">
      <c r="A454" s="4" t="s">
        <v>81</v>
      </c>
      <c r="B454" s="4" t="s">
        <v>82</v>
      </c>
      <c r="C454" s="4" t="s">
        <v>12</v>
      </c>
      <c r="D454" s="5" t="n">
        <f aca="false">SUMPRODUCT((A5:A444=A454)*(LEFT(H5:H444,4)="LATE"))</f>
        <v>0</v>
      </c>
      <c r="E454" s="5" t="str">
        <f aca="false">IF(D454&gt;=3,"FREQUENT LATECOMER - ACTION REQUIRED","OK")</f>
        <v>OK</v>
      </c>
    </row>
    <row r="455" customFormat="false" ht="46.25" hidden="false" customHeight="false" outlineLevel="0" collapsed="false">
      <c r="A455" s="4" t="s">
        <v>83</v>
      </c>
      <c r="B455" s="4" t="s">
        <v>84</v>
      </c>
      <c r="C455" s="4" t="s">
        <v>61</v>
      </c>
      <c r="D455" s="5" t="n">
        <f aca="false">SUMPRODUCT((A5:A444=A455)*(LEFT(H5:H444,4)="LATE"))</f>
        <v>14</v>
      </c>
      <c r="E455" s="5" t="str">
        <f aca="false">IF(D455&gt;=3,"FREQUENT LATECOMER - ACTION REQUIRED","OK")</f>
        <v>FREQUENT LATECOMER - ACTION REQUIRED</v>
      </c>
    </row>
    <row r="456" customFormat="false" ht="15" hidden="false" customHeight="false" outlineLevel="0" collapsed="false">
      <c r="A456" s="4" t="s">
        <v>85</v>
      </c>
      <c r="B456" s="4" t="s">
        <v>86</v>
      </c>
      <c r="C456" s="4" t="s">
        <v>53</v>
      </c>
      <c r="D456" s="5" t="n">
        <f aca="false">SUMPRODUCT((A5:A444=A456)*(LEFT(H5:H444,4)="LATE"))</f>
        <v>1</v>
      </c>
      <c r="E456" s="5" t="str">
        <f aca="false">IF(D456&gt;=3,"FREQUENT LATECOMER - ACTION REQUIRED","OK")</f>
        <v>OK</v>
      </c>
    </row>
    <row r="457" customFormat="false" ht="15" hidden="false" customHeight="false" outlineLevel="0" collapsed="false">
      <c r="A457" s="4" t="s">
        <v>88</v>
      </c>
      <c r="B457" s="4" t="s">
        <v>89</v>
      </c>
      <c r="C457" s="4" t="s">
        <v>69</v>
      </c>
      <c r="D457" s="5" t="n">
        <f aca="false">SUMPRODUCT((A5:A444=A457)*(LEFT(H5:H444,4)="LATE"))</f>
        <v>1</v>
      </c>
      <c r="E457" s="5" t="str">
        <f aca="false">IF(D457&gt;=3,"FREQUENT LATECOMER - ACTION REQUIRED","OK")</f>
        <v>OK</v>
      </c>
    </row>
    <row r="458" customFormat="false" ht="15" hidden="false" customHeight="false" outlineLevel="0" collapsed="false">
      <c r="A458" s="4" t="s">
        <v>90</v>
      </c>
      <c r="B458" s="4" t="s">
        <v>91</v>
      </c>
      <c r="C458" s="4" t="s">
        <v>79</v>
      </c>
      <c r="D458" s="5" t="n">
        <f aca="false">SUMPRODUCT((A5:A444=A458)*(LEFT(H5:H444,4)="LATE"))</f>
        <v>1</v>
      </c>
      <c r="E458" s="5" t="str">
        <f aca="false">IF(D458&gt;=3,"FREQUENT LATECOMER - ACTION REQUIRED","OK")</f>
        <v>OK</v>
      </c>
    </row>
    <row r="459" customFormat="false" ht="15" hidden="false" customHeight="false" outlineLevel="0" collapsed="false">
      <c r="A459" s="4" t="s">
        <v>92</v>
      </c>
      <c r="B459" s="4" t="s">
        <v>93</v>
      </c>
      <c r="C459" s="4" t="s">
        <v>12</v>
      </c>
      <c r="D459" s="5" t="n">
        <f aca="false">SUMPRODUCT((A5:A444=A459)*(LEFT(H5:H444,4)="LATE"))</f>
        <v>1</v>
      </c>
      <c r="E459" s="5" t="str">
        <f aca="false">IF(D459&gt;=3,"FREQUENT LATECOMER - ACTION REQUIRED","OK")</f>
        <v>OK</v>
      </c>
    </row>
    <row r="460" customFormat="false" ht="15" hidden="false" customHeight="false" outlineLevel="0" collapsed="false">
      <c r="A460" s="4" t="s">
        <v>94</v>
      </c>
      <c r="B460" s="4" t="s">
        <v>95</v>
      </c>
      <c r="C460" s="4" t="s">
        <v>61</v>
      </c>
      <c r="D460" s="5" t="n">
        <f aca="false">SUMPRODUCT((A5:A444=A460)*(LEFT(H5:H444,4)="LATE"))</f>
        <v>1</v>
      </c>
      <c r="E460" s="5" t="str">
        <f aca="false">IF(D460&gt;=3,"FREQUENT LATECOMER - ACTION REQUIRED","OK")</f>
        <v>OK</v>
      </c>
    </row>
    <row r="461" customFormat="false" ht="46.25" hidden="false" customHeight="false" outlineLevel="0" collapsed="false">
      <c r="A461" s="4" t="s">
        <v>96</v>
      </c>
      <c r="B461" s="4" t="s">
        <v>97</v>
      </c>
      <c r="C461" s="4" t="s">
        <v>69</v>
      </c>
      <c r="D461" s="5" t="n">
        <f aca="false">SUMPRODUCT((A5:A444=A461)*(LEFT(H5:H444,4)="LATE"))</f>
        <v>3</v>
      </c>
      <c r="E461" s="5" t="str">
        <f aca="false">IF(D461&gt;=3,"FREQUENT LATECOMER - ACTION REQUIRED","OK")</f>
        <v>FREQUENT LATECOMER - ACTION REQUIRED</v>
      </c>
    </row>
    <row r="462" customFormat="false" ht="15" hidden="false" customHeight="false" outlineLevel="0" collapsed="false">
      <c r="A462" s="4" t="s">
        <v>98</v>
      </c>
      <c r="B462" s="4" t="s">
        <v>99</v>
      </c>
      <c r="C462" s="4" t="s">
        <v>53</v>
      </c>
      <c r="D462" s="5" t="n">
        <f aca="false">SUMPRODUCT((A5:A444=A462)*(LEFT(H5:H444,4)="LATE"))</f>
        <v>1</v>
      </c>
      <c r="E462" s="5" t="str">
        <f aca="false">IF(D462&gt;=3,"FREQUENT LATECOMER - ACTION REQUIRED","OK")</f>
        <v>OK</v>
      </c>
    </row>
    <row r="463" customFormat="false" ht="46.25" hidden="false" customHeight="false" outlineLevel="0" collapsed="false">
      <c r="A463" s="4" t="s">
        <v>100</v>
      </c>
      <c r="B463" s="4" t="s">
        <v>101</v>
      </c>
      <c r="C463" s="4" t="s">
        <v>79</v>
      </c>
      <c r="D463" s="5" t="n">
        <f aca="false">SUMPRODUCT((A5:A444=A463)*(LEFT(H5:H444,4)="LATE"))</f>
        <v>6</v>
      </c>
      <c r="E463" s="5" t="str">
        <f aca="false">IF(D463&gt;=3,"FREQUENT LATECOMER - ACTION REQUIRED","OK")</f>
        <v>FREQUENT LATECOMER - ACTION REQUIRED</v>
      </c>
    </row>
    <row r="464" customFormat="false" ht="15" hidden="false" customHeight="false" outlineLevel="0" collapsed="false">
      <c r="A464" s="4" t="s">
        <v>103</v>
      </c>
      <c r="B464" s="4" t="s">
        <v>104</v>
      </c>
      <c r="C464" s="4" t="s">
        <v>12</v>
      </c>
      <c r="D464" s="5" t="n">
        <f aca="false">SUMPRODUCT((A5:A444=A464)*(LEFT(H5:H444,4)="LATE"))</f>
        <v>0</v>
      </c>
      <c r="E464" s="5" t="str">
        <f aca="false">IF(D464&gt;=3,"FREQUENT LATECOMER - ACTION REQUIRED","OK")</f>
        <v>OK</v>
      </c>
    </row>
    <row r="465" customFormat="false" ht="15" hidden="false" customHeight="false" outlineLevel="0" collapsed="false">
      <c r="A465" s="4" t="s">
        <v>105</v>
      </c>
      <c r="B465" s="4" t="s">
        <v>106</v>
      </c>
      <c r="C465" s="4" t="s">
        <v>61</v>
      </c>
      <c r="D465" s="5" t="n">
        <f aca="false">SUMPRODUCT((A5:A444=A465)*(LEFT(H5:H444,4)="LATE"))</f>
        <v>0</v>
      </c>
      <c r="E465" s="5" t="str">
        <f aca="false">IF(D465&gt;=3,"FREQUENT LATECOMER - ACTION REQUIRED","OK")</f>
        <v>OK</v>
      </c>
    </row>
    <row r="466" customFormat="false" ht="15" hidden="false" customHeight="false" outlineLevel="0" collapsed="false">
      <c r="A466" s="4" t="s">
        <v>107</v>
      </c>
      <c r="B466" s="4" t="s">
        <v>108</v>
      </c>
      <c r="C466" s="4" t="s">
        <v>69</v>
      </c>
      <c r="D466" s="5" t="n">
        <f aca="false">SUMPRODUCT((A5:A444=A466)*(LEFT(H5:H444,4)="LATE"))</f>
        <v>0</v>
      </c>
      <c r="E466" s="5" t="str">
        <f aca="false">IF(D466&gt;=3,"FREQUENT LATECOMER - ACTION REQUIRED","OK")</f>
        <v>OK</v>
      </c>
    </row>
    <row r="467" customFormat="false" ht="15" hidden="false" customHeight="false" outlineLevel="0" collapsed="false">
      <c r="A467" s="4" t="s">
        <v>109</v>
      </c>
      <c r="B467" s="4" t="s">
        <v>110</v>
      </c>
      <c r="C467" s="4" t="s">
        <v>79</v>
      </c>
      <c r="D467" s="5" t="n">
        <f aca="false">SUMPRODUCT((A5:A444=A467)*(LEFT(H5:H444,4)="LATE"))</f>
        <v>1</v>
      </c>
      <c r="E467" s="5" t="str">
        <f aca="false">IF(D467&gt;=3,"FREQUENT LATECOMER - ACTION REQUIRED","OK")</f>
        <v>OK</v>
      </c>
    </row>
    <row r="468" customFormat="false" ht="46.25" hidden="false" customHeight="false" outlineLevel="0" collapsed="false">
      <c r="A468" s="4" t="s">
        <v>111</v>
      </c>
      <c r="B468" s="4" t="s">
        <v>112</v>
      </c>
      <c r="C468" s="4" t="s">
        <v>53</v>
      </c>
      <c r="D468" s="5" t="n">
        <f aca="false">SUMPRODUCT((A5:A444=A468)*(LEFT(H5:H444,4)="LATE"))</f>
        <v>3</v>
      </c>
      <c r="E468" s="5" t="str">
        <f aca="false">IF(D468&gt;=3,"FREQUENT LATECOMER - ACTION REQUIRED","OK")</f>
        <v>FREQUENT LATECOMER - ACTION REQUIRED</v>
      </c>
    </row>
    <row r="469" customFormat="false" ht="23.85" hidden="false" customHeight="false" outlineLevel="0" collapsed="false">
      <c r="A469" s="8" t="s">
        <v>116</v>
      </c>
      <c r="B469" s="9"/>
      <c r="C469" s="9"/>
      <c r="D469" s="9" t="n">
        <f aca="false">SUM(D449:D468)</f>
        <v>58</v>
      </c>
      <c r="E469" s="9" t="str">
        <f aca="false">COUNTIF(E449:E468,"FREQUENT LATECOMER - ACTION REQUIRED")&amp;" employees flagged"</f>
        <v>7 employees flagged</v>
      </c>
    </row>
    <row r="471" customFormat="false" ht="15" hidden="false" customHeight="false" outlineLevel="0" collapsed="false">
      <c r="A471" s="10" t="s">
        <v>117</v>
      </c>
    </row>
    <row r="472" customFormat="false" ht="15" hidden="false" customHeight="false" outlineLevel="0" collapsed="false">
      <c r="A472" s="11" t="s">
        <v>118</v>
      </c>
      <c r="B472" s="12" t="n">
        <f aca="false">COUNTA(A5:A444)</f>
        <v>440</v>
      </c>
    </row>
    <row r="473" customFormat="false" ht="15" hidden="false" customHeight="false" outlineLevel="0" collapsed="false">
      <c r="A473" s="11" t="s">
        <v>119</v>
      </c>
      <c r="B473" s="12" t="n">
        <f aca="false">COUNTIF(H5:H444,"LATE*")</f>
        <v>58</v>
      </c>
    </row>
    <row r="474" customFormat="false" ht="15" hidden="false" customHeight="false" outlineLevel="0" collapsed="false">
      <c r="A474" s="11" t="s">
        <v>120</v>
      </c>
      <c r="B474" s="12" t="n">
        <f aca="false">COUNTIF(H5:H444,"On Time")</f>
        <v>382</v>
      </c>
    </row>
    <row r="475" customFormat="false" ht="15" hidden="false" customHeight="false" outlineLevel="0" collapsed="false">
      <c r="A475" s="11" t="s">
        <v>121</v>
      </c>
      <c r="B475" s="13" t="n">
        <f aca="false">COUNTIF(H5:H444,"On Time")/COUNTA(H5:H444)</f>
        <v>0.868181818181818</v>
      </c>
    </row>
    <row r="476" customFormat="false" ht="15" hidden="false" customHeight="false" outlineLevel="0" collapsed="false">
      <c r="A476" s="11" t="s">
        <v>122</v>
      </c>
      <c r="B476" s="12" t="n">
        <f aca="false">COUNTIF(E449:E468,"FREQUENT LATECOMER - ACTION REQUIRED")</f>
        <v>7</v>
      </c>
    </row>
    <row r="477" customFormat="false" ht="15" hidden="false" customHeight="false" outlineLevel="0" collapsed="false">
      <c r="A477" s="11" t="s">
        <v>123</v>
      </c>
      <c r="B477" s="14" t="n">
        <f aca="false">AVERAGEIF(G5:G444,"&gt;0")</f>
        <v>19.3965517241379</v>
      </c>
    </row>
  </sheetData>
  <mergeCells count="3">
    <mergeCell ref="A1:H1"/>
    <mergeCell ref="A2:H2"/>
    <mergeCell ref="A447:E447"/>
  </mergeCells>
  <conditionalFormatting sqref="G5:G444">
    <cfRule type="cellIs" priority="2" operator="greaterThan" aboveAverage="0" equalAverage="0" bottom="0" percent="0" rank="0" text="" dxfId="0">
      <formula>0</formula>
    </cfRule>
  </conditionalFormatting>
  <conditionalFormatting sqref="H5:H444">
    <cfRule type="expression" priority="3" aboveAverage="0" equalAverage="0" bottom="0" percent="0" rank="0" text="" dxfId="0">
      <formula>LEFT(H5,4)="LATE"</formula>
    </cfRule>
    <cfRule type="cellIs" priority="4" operator="equal" aboveAverage="0" equalAverage="0" bottom="0" percent="0" rank="0" text="" dxfId="1">
      <formula>"On Time"</formula>
    </cfRule>
  </conditionalFormatting>
  <conditionalFormatting sqref="E449:E468">
    <cfRule type="cellIs" priority="5" operator="equal" aboveAverage="0" equalAverage="0" bottom="0" percent="0" rank="0" text="" dxfId="0">
      <formula>"FREQUENT LATECOMER - ACTION REQUIRED"</formula>
    </cfRule>
    <cfRule type="cellIs" priority="6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2026-06-12T07:39:42Z</dcterms:created>
  <dc:creator>openpyxl</dc:creator>
  <dc:description/>
  <dc:language>en-US</dc:language>
  <cp:lastModifiedBy/>
  <dcterms:modified xsi:type="dcterms:W3CDTF">2026-06-12T07:39:42Z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